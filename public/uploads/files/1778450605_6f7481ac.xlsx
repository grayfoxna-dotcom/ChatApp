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hunieduvn0-my.sharepoint.com/personal/huyenvth_vinhuni_edu_vn/Documents/07. ĐỒNG BỘ HÓA/02 - CHẾ ĐỘ CHÍNH SÁCH/6 - BẢN CHUẨN CÁC NĂM/9 - CHẾ ĐỘ CS HỌC KỲ 1 NĂM 2025-2026/QUYẾT ĐỊNH/Gửi DS rà soát/"/>
    </mc:Choice>
  </mc:AlternateContent>
  <xr:revisionPtr revIDLastSave="8" documentId="8_{D06F442B-F185-4AEF-BCA1-50BED0F616B4}" xr6:coauthVersionLast="47" xr6:coauthVersionMax="47" xr10:uidLastSave="{0CCDD700-0E14-411B-92AB-6384A6C76DE2}"/>
  <bookViews>
    <workbookView xWindow="-120" yWindow="-120" windowWidth="29040" windowHeight="15720" xr2:uid="{0049FD5E-4EEC-4026-B7C9-DEFDB7836A43}"/>
  </bookViews>
  <sheets>
    <sheet name="MGHP PHẦN 1" sheetId="1" r:id="rId1"/>
  </sheets>
  <externalReferences>
    <externalReference r:id="rId2"/>
    <externalReference r:id="rId3"/>
  </externalReferences>
  <definedNames>
    <definedName name="_xlnm._FilterDatabase" localSheetId="0" hidden="1">'MGHP PHẦN 1'!$A$8:$Y$375</definedName>
    <definedName name="lstData">[2]Sheet1!$A$3:$P$3112</definedName>
    <definedName name="_xlnm.Print_Area" localSheetId="0">'MGHP PHẦN 1'!$A$1:$Y$384</definedName>
    <definedName name="_xlnm.Print_Titles" localSheetId="0">'MGHP PHẦN 1'!$8:$8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2" i="1" l="1"/>
  <c r="U372" i="1" s="1"/>
  <c r="S371" i="1"/>
  <c r="U371" i="1" s="1"/>
  <c r="S370" i="1"/>
  <c r="U370" i="1" s="1"/>
  <c r="S369" i="1"/>
  <c r="U369" i="1" s="1"/>
  <c r="S368" i="1"/>
  <c r="U368" i="1" s="1"/>
  <c r="S367" i="1"/>
  <c r="U367" i="1" s="1"/>
  <c r="S366" i="1"/>
  <c r="U366" i="1" s="1"/>
  <c r="S365" i="1"/>
  <c r="U365" i="1" s="1"/>
  <c r="S364" i="1"/>
  <c r="U364" i="1" s="1"/>
  <c r="S363" i="1"/>
  <c r="U363" i="1" s="1"/>
  <c r="S362" i="1"/>
  <c r="U362" i="1" s="1"/>
  <c r="S361" i="1"/>
  <c r="U361" i="1" s="1"/>
  <c r="S360" i="1"/>
  <c r="U360" i="1" s="1"/>
  <c r="S359" i="1"/>
  <c r="U359" i="1" s="1"/>
  <c r="S358" i="1"/>
  <c r="U358" i="1" s="1"/>
  <c r="S357" i="1"/>
  <c r="U357" i="1" s="1"/>
  <c r="S356" i="1"/>
  <c r="U356" i="1" s="1"/>
  <c r="S355" i="1"/>
  <c r="U355" i="1" s="1"/>
  <c r="S354" i="1"/>
  <c r="U354" i="1" s="1"/>
  <c r="S353" i="1"/>
  <c r="U353" i="1" s="1"/>
  <c r="S352" i="1"/>
  <c r="U352" i="1" s="1"/>
  <c r="S351" i="1"/>
  <c r="U351" i="1" s="1"/>
  <c r="S350" i="1"/>
  <c r="U350" i="1" s="1"/>
  <c r="S349" i="1"/>
  <c r="U349" i="1" s="1"/>
  <c r="S348" i="1"/>
  <c r="U348" i="1" s="1"/>
  <c r="S347" i="1"/>
  <c r="U347" i="1" s="1"/>
  <c r="S346" i="1"/>
  <c r="U346" i="1" s="1"/>
  <c r="S345" i="1"/>
  <c r="U345" i="1" s="1"/>
  <c r="S344" i="1"/>
  <c r="U344" i="1" s="1"/>
  <c r="S343" i="1"/>
  <c r="U343" i="1" s="1"/>
  <c r="S342" i="1"/>
  <c r="U342" i="1" s="1"/>
  <c r="S341" i="1"/>
  <c r="U341" i="1" s="1"/>
  <c r="S340" i="1"/>
  <c r="U340" i="1" s="1"/>
  <c r="S339" i="1"/>
  <c r="U339" i="1" s="1"/>
  <c r="S338" i="1"/>
  <c r="U338" i="1" s="1"/>
  <c r="S337" i="1"/>
  <c r="U337" i="1" s="1"/>
  <c r="U336" i="1"/>
  <c r="S336" i="1"/>
  <c r="S335" i="1"/>
  <c r="U335" i="1" s="1"/>
  <c r="S334" i="1"/>
  <c r="U334" i="1" s="1"/>
  <c r="S333" i="1"/>
  <c r="U333" i="1" s="1"/>
  <c r="S332" i="1"/>
  <c r="U332" i="1" s="1"/>
  <c r="S331" i="1"/>
  <c r="U331" i="1" s="1"/>
  <c r="S330" i="1"/>
  <c r="U330" i="1" s="1"/>
  <c r="S329" i="1"/>
  <c r="U329" i="1" s="1"/>
  <c r="S328" i="1"/>
  <c r="U328" i="1" s="1"/>
  <c r="S327" i="1"/>
  <c r="U327" i="1" s="1"/>
  <c r="S326" i="1"/>
  <c r="U326" i="1" s="1"/>
  <c r="S325" i="1"/>
  <c r="U325" i="1" s="1"/>
  <c r="S324" i="1"/>
  <c r="U324" i="1" s="1"/>
  <c r="S323" i="1"/>
  <c r="U323" i="1" s="1"/>
  <c r="S322" i="1"/>
  <c r="U322" i="1" s="1"/>
  <c r="S321" i="1"/>
  <c r="U321" i="1" s="1"/>
  <c r="S320" i="1"/>
  <c r="U320" i="1" s="1"/>
  <c r="S319" i="1"/>
  <c r="U319" i="1" s="1"/>
  <c r="S318" i="1"/>
  <c r="U318" i="1" s="1"/>
  <c r="S317" i="1"/>
  <c r="U317" i="1" s="1"/>
  <c r="S316" i="1"/>
  <c r="U316" i="1" s="1"/>
  <c r="S315" i="1"/>
  <c r="U315" i="1" s="1"/>
  <c r="S314" i="1"/>
  <c r="U314" i="1" s="1"/>
  <c r="S313" i="1"/>
  <c r="U313" i="1" s="1"/>
  <c r="U312" i="1"/>
  <c r="S312" i="1"/>
  <c r="S311" i="1"/>
  <c r="U311" i="1" s="1"/>
  <c r="S310" i="1"/>
  <c r="U310" i="1" s="1"/>
  <c r="S309" i="1"/>
  <c r="U309" i="1" s="1"/>
  <c r="S308" i="1"/>
  <c r="U308" i="1" s="1"/>
  <c r="S307" i="1"/>
  <c r="U307" i="1" s="1"/>
  <c r="S306" i="1"/>
  <c r="U306" i="1" s="1"/>
  <c r="S305" i="1"/>
  <c r="U305" i="1" s="1"/>
  <c r="S304" i="1"/>
  <c r="U304" i="1" s="1"/>
  <c r="S303" i="1"/>
  <c r="U303" i="1" s="1"/>
  <c r="S302" i="1"/>
  <c r="U302" i="1" s="1"/>
  <c r="S301" i="1"/>
  <c r="U301" i="1" s="1"/>
  <c r="S300" i="1"/>
  <c r="U300" i="1" s="1"/>
  <c r="S299" i="1"/>
  <c r="U299" i="1" s="1"/>
  <c r="S298" i="1"/>
  <c r="U298" i="1" s="1"/>
  <c r="S297" i="1"/>
  <c r="U297" i="1" s="1"/>
  <c r="S296" i="1"/>
  <c r="U296" i="1" s="1"/>
  <c r="S295" i="1"/>
  <c r="U295" i="1" s="1"/>
  <c r="S294" i="1"/>
  <c r="U294" i="1" s="1"/>
  <c r="S293" i="1"/>
  <c r="U293" i="1" s="1"/>
  <c r="S292" i="1"/>
  <c r="U292" i="1" s="1"/>
  <c r="S291" i="1"/>
  <c r="U291" i="1" s="1"/>
  <c r="S290" i="1"/>
  <c r="U290" i="1" s="1"/>
  <c r="S289" i="1"/>
  <c r="U289" i="1" s="1"/>
  <c r="S288" i="1"/>
  <c r="U288" i="1" s="1"/>
  <c r="S287" i="1"/>
  <c r="U287" i="1" s="1"/>
  <c r="S286" i="1"/>
  <c r="U286" i="1" s="1"/>
  <c r="S285" i="1"/>
  <c r="U285" i="1" s="1"/>
  <c r="S284" i="1"/>
  <c r="U284" i="1" s="1"/>
  <c r="S283" i="1"/>
  <c r="U283" i="1" s="1"/>
  <c r="S282" i="1"/>
  <c r="U282" i="1" s="1"/>
  <c r="S281" i="1"/>
  <c r="U281" i="1" s="1"/>
  <c r="S280" i="1"/>
  <c r="U280" i="1" s="1"/>
  <c r="S279" i="1"/>
  <c r="U279" i="1" s="1"/>
  <c r="S278" i="1"/>
  <c r="U278" i="1" s="1"/>
  <c r="S277" i="1"/>
  <c r="U277" i="1" s="1"/>
  <c r="S276" i="1"/>
  <c r="U276" i="1" s="1"/>
  <c r="S275" i="1"/>
  <c r="U275" i="1" s="1"/>
  <c r="S274" i="1"/>
  <c r="U274" i="1" s="1"/>
  <c r="S273" i="1"/>
  <c r="U273" i="1" s="1"/>
  <c r="S272" i="1"/>
  <c r="U272" i="1" s="1"/>
  <c r="S271" i="1"/>
  <c r="U271" i="1" s="1"/>
  <c r="S270" i="1"/>
  <c r="U270" i="1" s="1"/>
  <c r="S269" i="1"/>
  <c r="U269" i="1" s="1"/>
  <c r="S268" i="1"/>
  <c r="U268" i="1" s="1"/>
  <c r="S267" i="1"/>
  <c r="U267" i="1" s="1"/>
  <c r="S266" i="1"/>
  <c r="U266" i="1" s="1"/>
  <c r="S265" i="1"/>
  <c r="U265" i="1" s="1"/>
  <c r="S264" i="1"/>
  <c r="U264" i="1" s="1"/>
  <c r="S263" i="1"/>
  <c r="U263" i="1" s="1"/>
  <c r="S262" i="1"/>
  <c r="U262" i="1" s="1"/>
  <c r="S261" i="1"/>
  <c r="U261" i="1" s="1"/>
  <c r="U260" i="1"/>
  <c r="S260" i="1"/>
  <c r="S259" i="1"/>
  <c r="U259" i="1" s="1"/>
  <c r="S258" i="1"/>
  <c r="U258" i="1" s="1"/>
  <c r="S257" i="1"/>
  <c r="U257" i="1" s="1"/>
  <c r="S256" i="1"/>
  <c r="U256" i="1" s="1"/>
  <c r="U255" i="1"/>
  <c r="S255" i="1"/>
  <c r="S254" i="1"/>
  <c r="U254" i="1" s="1"/>
  <c r="S253" i="1"/>
  <c r="U253" i="1" s="1"/>
  <c r="S252" i="1"/>
  <c r="U252" i="1" s="1"/>
  <c r="S251" i="1"/>
  <c r="U251" i="1" s="1"/>
  <c r="S250" i="1"/>
  <c r="U250" i="1" s="1"/>
  <c r="S249" i="1"/>
  <c r="U249" i="1" s="1"/>
  <c r="S248" i="1"/>
  <c r="U248" i="1" s="1"/>
  <c r="S247" i="1"/>
  <c r="U247" i="1" s="1"/>
  <c r="S246" i="1"/>
  <c r="U246" i="1" s="1"/>
  <c r="S245" i="1"/>
  <c r="U245" i="1" s="1"/>
  <c r="S244" i="1"/>
  <c r="U244" i="1" s="1"/>
  <c r="S243" i="1"/>
  <c r="U243" i="1" s="1"/>
  <c r="S242" i="1"/>
  <c r="U242" i="1" s="1"/>
  <c r="S241" i="1"/>
  <c r="U241" i="1" s="1"/>
  <c r="S240" i="1"/>
  <c r="U240" i="1" s="1"/>
  <c r="S239" i="1"/>
  <c r="U239" i="1" s="1"/>
  <c r="S238" i="1"/>
  <c r="U238" i="1" s="1"/>
  <c r="S237" i="1"/>
  <c r="U237" i="1" s="1"/>
  <c r="S236" i="1"/>
  <c r="U236" i="1" s="1"/>
  <c r="S235" i="1"/>
  <c r="U235" i="1" s="1"/>
  <c r="S234" i="1"/>
  <c r="U234" i="1" s="1"/>
  <c r="S233" i="1"/>
  <c r="U233" i="1" s="1"/>
  <c r="S232" i="1"/>
  <c r="U232" i="1" s="1"/>
  <c r="S231" i="1"/>
  <c r="U231" i="1" s="1"/>
  <c r="S230" i="1"/>
  <c r="U230" i="1" s="1"/>
  <c r="S229" i="1"/>
  <c r="U229" i="1" s="1"/>
  <c r="S228" i="1"/>
  <c r="U228" i="1" s="1"/>
  <c r="S227" i="1"/>
  <c r="U227" i="1" s="1"/>
  <c r="S226" i="1"/>
  <c r="U226" i="1" s="1"/>
  <c r="S225" i="1"/>
  <c r="U225" i="1" s="1"/>
  <c r="S224" i="1"/>
  <c r="U224" i="1" s="1"/>
  <c r="S223" i="1"/>
  <c r="U223" i="1" s="1"/>
  <c r="S222" i="1"/>
  <c r="U222" i="1" s="1"/>
  <c r="S221" i="1"/>
  <c r="U221" i="1" s="1"/>
  <c r="S220" i="1"/>
  <c r="U220" i="1" s="1"/>
  <c r="S219" i="1"/>
  <c r="U219" i="1" s="1"/>
  <c r="S218" i="1"/>
  <c r="U218" i="1" s="1"/>
  <c r="S217" i="1"/>
  <c r="U217" i="1" s="1"/>
  <c r="S216" i="1"/>
  <c r="U216" i="1" s="1"/>
  <c r="S215" i="1"/>
  <c r="U215" i="1" s="1"/>
  <c r="S214" i="1"/>
  <c r="U214" i="1" s="1"/>
  <c r="S213" i="1"/>
  <c r="U213" i="1" s="1"/>
  <c r="S212" i="1"/>
  <c r="U212" i="1" s="1"/>
  <c r="S211" i="1"/>
  <c r="U211" i="1" s="1"/>
  <c r="S210" i="1"/>
  <c r="U210" i="1" s="1"/>
  <c r="S209" i="1"/>
  <c r="U209" i="1" s="1"/>
  <c r="S208" i="1"/>
  <c r="U208" i="1" s="1"/>
  <c r="S207" i="1"/>
  <c r="U207" i="1" s="1"/>
  <c r="S206" i="1"/>
  <c r="U206" i="1" s="1"/>
  <c r="S205" i="1"/>
  <c r="U205" i="1" s="1"/>
  <c r="S204" i="1"/>
  <c r="U204" i="1" s="1"/>
  <c r="S203" i="1"/>
  <c r="U203" i="1" s="1"/>
  <c r="S202" i="1"/>
  <c r="U202" i="1" s="1"/>
  <c r="S201" i="1"/>
  <c r="U201" i="1" s="1"/>
  <c r="S200" i="1"/>
  <c r="U200" i="1" s="1"/>
  <c r="S199" i="1"/>
  <c r="U199" i="1" s="1"/>
  <c r="S198" i="1"/>
  <c r="U198" i="1" s="1"/>
  <c r="S197" i="1"/>
  <c r="U197" i="1" s="1"/>
  <c r="S196" i="1"/>
  <c r="U196" i="1" s="1"/>
  <c r="S195" i="1"/>
  <c r="U195" i="1" s="1"/>
  <c r="S194" i="1"/>
  <c r="U194" i="1" s="1"/>
  <c r="S193" i="1"/>
  <c r="U193" i="1" s="1"/>
  <c r="S192" i="1"/>
  <c r="U192" i="1" s="1"/>
  <c r="S191" i="1"/>
  <c r="U191" i="1" s="1"/>
  <c r="S190" i="1"/>
  <c r="U190" i="1" s="1"/>
  <c r="S189" i="1"/>
  <c r="U189" i="1" s="1"/>
  <c r="S188" i="1"/>
  <c r="U188" i="1" s="1"/>
  <c r="S187" i="1"/>
  <c r="U187" i="1" s="1"/>
  <c r="S186" i="1"/>
  <c r="U186" i="1" s="1"/>
  <c r="S185" i="1"/>
  <c r="U185" i="1" s="1"/>
  <c r="S184" i="1"/>
  <c r="U184" i="1" s="1"/>
  <c r="S183" i="1"/>
  <c r="U183" i="1" s="1"/>
  <c r="S182" i="1"/>
  <c r="U182" i="1" s="1"/>
  <c r="S181" i="1"/>
  <c r="U181" i="1" s="1"/>
  <c r="S180" i="1"/>
  <c r="U180" i="1" s="1"/>
  <c r="S179" i="1"/>
  <c r="U179" i="1" s="1"/>
  <c r="X178" i="1"/>
  <c r="S178" i="1"/>
  <c r="U178" i="1" s="1"/>
  <c r="S177" i="1"/>
  <c r="U177" i="1" s="1"/>
  <c r="S176" i="1"/>
  <c r="U176" i="1" s="1"/>
  <c r="X175" i="1"/>
  <c r="S175" i="1"/>
  <c r="U175" i="1" s="1"/>
  <c r="S174" i="1"/>
  <c r="U174" i="1" s="1"/>
  <c r="S173" i="1"/>
  <c r="U173" i="1" s="1"/>
  <c r="S172" i="1"/>
  <c r="U172" i="1" s="1"/>
  <c r="S171" i="1"/>
  <c r="U171" i="1" s="1"/>
  <c r="S170" i="1"/>
  <c r="U170" i="1" s="1"/>
  <c r="S169" i="1"/>
  <c r="U169" i="1" s="1"/>
  <c r="S168" i="1"/>
  <c r="U168" i="1" s="1"/>
  <c r="S167" i="1"/>
  <c r="U167" i="1" s="1"/>
  <c r="S166" i="1"/>
  <c r="U166" i="1" s="1"/>
  <c r="S165" i="1"/>
  <c r="U165" i="1" s="1"/>
  <c r="S164" i="1"/>
  <c r="U164" i="1" s="1"/>
  <c r="S163" i="1"/>
  <c r="U163" i="1" s="1"/>
  <c r="S162" i="1"/>
  <c r="U162" i="1" s="1"/>
  <c r="S161" i="1"/>
  <c r="U161" i="1" s="1"/>
  <c r="U160" i="1"/>
  <c r="S160" i="1"/>
  <c r="S159" i="1"/>
  <c r="U159" i="1" s="1"/>
  <c r="S158" i="1"/>
  <c r="U158" i="1" s="1"/>
  <c r="S157" i="1"/>
  <c r="U157" i="1" s="1"/>
  <c r="S156" i="1"/>
  <c r="U156" i="1" s="1"/>
  <c r="S155" i="1"/>
  <c r="U155" i="1" s="1"/>
  <c r="S154" i="1"/>
  <c r="U154" i="1" s="1"/>
  <c r="S153" i="1"/>
  <c r="U153" i="1" s="1"/>
  <c r="S152" i="1"/>
  <c r="U152" i="1" s="1"/>
  <c r="S151" i="1"/>
  <c r="U151" i="1" s="1"/>
  <c r="S150" i="1"/>
  <c r="U150" i="1" s="1"/>
  <c r="S149" i="1"/>
  <c r="U149" i="1" s="1"/>
  <c r="S148" i="1"/>
  <c r="U148" i="1" s="1"/>
  <c r="S147" i="1"/>
  <c r="U147" i="1" s="1"/>
  <c r="S146" i="1"/>
  <c r="U146" i="1" s="1"/>
  <c r="S145" i="1"/>
  <c r="U145" i="1" s="1"/>
  <c r="S144" i="1"/>
  <c r="U144" i="1" s="1"/>
  <c r="S143" i="1"/>
  <c r="U143" i="1" s="1"/>
  <c r="S142" i="1"/>
  <c r="U142" i="1" s="1"/>
  <c r="S141" i="1"/>
  <c r="U141" i="1" s="1"/>
  <c r="S140" i="1"/>
  <c r="U140" i="1" s="1"/>
  <c r="S139" i="1"/>
  <c r="U139" i="1" s="1"/>
  <c r="S138" i="1"/>
  <c r="U138" i="1" s="1"/>
  <c r="S137" i="1"/>
  <c r="U137" i="1" s="1"/>
  <c r="S136" i="1"/>
  <c r="U136" i="1" s="1"/>
  <c r="S135" i="1"/>
  <c r="U135" i="1" s="1"/>
  <c r="S134" i="1"/>
  <c r="U134" i="1" s="1"/>
  <c r="S133" i="1"/>
  <c r="U133" i="1" s="1"/>
  <c r="S132" i="1"/>
  <c r="U132" i="1" s="1"/>
  <c r="S131" i="1"/>
  <c r="U131" i="1" s="1"/>
  <c r="S130" i="1"/>
  <c r="U130" i="1" s="1"/>
  <c r="S129" i="1"/>
  <c r="U129" i="1" s="1"/>
  <c r="S128" i="1"/>
  <c r="U128" i="1" s="1"/>
  <c r="S127" i="1"/>
  <c r="U127" i="1" s="1"/>
  <c r="S126" i="1"/>
  <c r="U126" i="1" s="1"/>
  <c r="S125" i="1"/>
  <c r="U125" i="1" s="1"/>
  <c r="S124" i="1"/>
  <c r="U124" i="1" s="1"/>
  <c r="S123" i="1"/>
  <c r="U123" i="1" s="1"/>
  <c r="S122" i="1"/>
  <c r="U122" i="1" s="1"/>
  <c r="S121" i="1"/>
  <c r="U121" i="1" s="1"/>
  <c r="S120" i="1"/>
  <c r="U120" i="1" s="1"/>
  <c r="S119" i="1"/>
  <c r="U119" i="1" s="1"/>
  <c r="U118" i="1"/>
  <c r="S118" i="1"/>
  <c r="S117" i="1"/>
  <c r="U117" i="1" s="1"/>
  <c r="S116" i="1"/>
  <c r="U116" i="1" s="1"/>
  <c r="S115" i="1"/>
  <c r="U115" i="1" s="1"/>
  <c r="S114" i="1"/>
  <c r="U114" i="1" s="1"/>
  <c r="S113" i="1"/>
  <c r="U113" i="1" s="1"/>
  <c r="S112" i="1"/>
  <c r="U112" i="1" s="1"/>
  <c r="S111" i="1"/>
  <c r="U111" i="1" s="1"/>
  <c r="S110" i="1"/>
  <c r="U110" i="1" s="1"/>
  <c r="S109" i="1"/>
  <c r="U109" i="1" s="1"/>
  <c r="S108" i="1"/>
  <c r="U108" i="1" s="1"/>
  <c r="S107" i="1"/>
  <c r="U107" i="1" s="1"/>
  <c r="S106" i="1"/>
  <c r="U106" i="1" s="1"/>
  <c r="S105" i="1"/>
  <c r="U105" i="1" s="1"/>
  <c r="S104" i="1"/>
  <c r="U104" i="1" s="1"/>
  <c r="S103" i="1"/>
  <c r="U103" i="1" s="1"/>
  <c r="S102" i="1"/>
  <c r="U102" i="1" s="1"/>
  <c r="S101" i="1"/>
  <c r="U101" i="1" s="1"/>
  <c r="S100" i="1"/>
  <c r="U100" i="1" s="1"/>
  <c r="S99" i="1"/>
  <c r="U99" i="1" s="1"/>
  <c r="S98" i="1"/>
  <c r="U98" i="1" s="1"/>
  <c r="S97" i="1"/>
  <c r="U97" i="1" s="1"/>
  <c r="S96" i="1"/>
  <c r="U96" i="1" s="1"/>
  <c r="S95" i="1"/>
  <c r="U95" i="1" s="1"/>
  <c r="S94" i="1"/>
  <c r="U94" i="1" s="1"/>
  <c r="S93" i="1"/>
  <c r="U93" i="1" s="1"/>
  <c r="S92" i="1"/>
  <c r="U92" i="1" s="1"/>
  <c r="S91" i="1"/>
  <c r="U91" i="1" s="1"/>
  <c r="S90" i="1"/>
  <c r="U90" i="1" s="1"/>
  <c r="S89" i="1"/>
  <c r="U89" i="1" s="1"/>
  <c r="S88" i="1"/>
  <c r="U88" i="1" s="1"/>
  <c r="S87" i="1"/>
  <c r="U87" i="1" s="1"/>
  <c r="S86" i="1"/>
  <c r="U86" i="1" s="1"/>
  <c r="S85" i="1"/>
  <c r="U85" i="1" s="1"/>
  <c r="S84" i="1"/>
  <c r="U84" i="1" s="1"/>
  <c r="S83" i="1"/>
  <c r="U83" i="1" s="1"/>
  <c r="S82" i="1"/>
  <c r="U82" i="1" s="1"/>
  <c r="S81" i="1"/>
  <c r="U81" i="1" s="1"/>
  <c r="S80" i="1"/>
  <c r="U80" i="1" s="1"/>
  <c r="S79" i="1"/>
  <c r="U79" i="1" s="1"/>
  <c r="S78" i="1"/>
  <c r="U78" i="1" s="1"/>
  <c r="S77" i="1"/>
  <c r="U77" i="1" s="1"/>
  <c r="S76" i="1"/>
  <c r="U76" i="1" s="1"/>
  <c r="S75" i="1"/>
  <c r="U75" i="1" s="1"/>
  <c r="S74" i="1"/>
  <c r="U74" i="1" s="1"/>
  <c r="S73" i="1"/>
  <c r="U73" i="1" s="1"/>
  <c r="S72" i="1"/>
  <c r="U72" i="1" s="1"/>
  <c r="S71" i="1"/>
  <c r="U71" i="1" s="1"/>
  <c r="S70" i="1"/>
  <c r="U70" i="1" s="1"/>
  <c r="S69" i="1"/>
  <c r="U69" i="1" s="1"/>
  <c r="S68" i="1"/>
  <c r="U68" i="1" s="1"/>
  <c r="S67" i="1"/>
  <c r="U67" i="1" s="1"/>
  <c r="S66" i="1"/>
  <c r="U66" i="1" s="1"/>
  <c r="S65" i="1"/>
  <c r="U65" i="1" s="1"/>
  <c r="S64" i="1"/>
  <c r="U64" i="1" s="1"/>
  <c r="S63" i="1"/>
  <c r="U63" i="1" s="1"/>
  <c r="S62" i="1"/>
  <c r="U62" i="1" s="1"/>
  <c r="S61" i="1"/>
  <c r="U61" i="1" s="1"/>
  <c r="S60" i="1"/>
  <c r="U60" i="1" s="1"/>
  <c r="S59" i="1"/>
  <c r="U59" i="1" s="1"/>
  <c r="S58" i="1"/>
  <c r="U58" i="1" s="1"/>
  <c r="S57" i="1"/>
  <c r="U57" i="1" s="1"/>
  <c r="S56" i="1"/>
  <c r="U56" i="1" s="1"/>
  <c r="S55" i="1"/>
  <c r="U55" i="1" s="1"/>
  <c r="S54" i="1"/>
  <c r="U54" i="1" s="1"/>
  <c r="S53" i="1"/>
  <c r="U53" i="1" s="1"/>
  <c r="S52" i="1"/>
  <c r="U52" i="1" s="1"/>
  <c r="S51" i="1"/>
  <c r="U51" i="1" s="1"/>
  <c r="S50" i="1"/>
  <c r="U50" i="1" s="1"/>
  <c r="S49" i="1"/>
  <c r="U49" i="1" s="1"/>
  <c r="S48" i="1"/>
  <c r="U48" i="1" s="1"/>
  <c r="S47" i="1"/>
  <c r="U47" i="1" s="1"/>
  <c r="S46" i="1"/>
  <c r="U46" i="1" s="1"/>
  <c r="S45" i="1"/>
  <c r="U45" i="1" s="1"/>
  <c r="S44" i="1"/>
  <c r="U44" i="1" s="1"/>
  <c r="S43" i="1"/>
  <c r="U43" i="1" s="1"/>
  <c r="S42" i="1"/>
  <c r="U42" i="1" s="1"/>
  <c r="S41" i="1"/>
  <c r="U41" i="1" s="1"/>
  <c r="S40" i="1"/>
  <c r="U40" i="1" s="1"/>
  <c r="S39" i="1"/>
  <c r="U39" i="1" s="1"/>
  <c r="S38" i="1"/>
  <c r="U38" i="1" s="1"/>
  <c r="S37" i="1"/>
  <c r="U37" i="1" s="1"/>
  <c r="S36" i="1"/>
  <c r="U36" i="1" s="1"/>
  <c r="S35" i="1"/>
  <c r="U35" i="1" s="1"/>
  <c r="U34" i="1"/>
  <c r="S34" i="1"/>
  <c r="S33" i="1"/>
  <c r="U33" i="1" s="1"/>
  <c r="S32" i="1"/>
  <c r="U32" i="1" s="1"/>
  <c r="S31" i="1"/>
  <c r="U31" i="1" s="1"/>
  <c r="S30" i="1"/>
  <c r="U30" i="1" s="1"/>
  <c r="S29" i="1"/>
  <c r="U29" i="1" s="1"/>
  <c r="S28" i="1"/>
  <c r="U28" i="1" s="1"/>
  <c r="S27" i="1"/>
  <c r="U27" i="1" s="1"/>
  <c r="S26" i="1"/>
  <c r="U26" i="1" s="1"/>
  <c r="S25" i="1"/>
  <c r="U25" i="1" s="1"/>
  <c r="S24" i="1"/>
  <c r="U24" i="1" s="1"/>
  <c r="S23" i="1"/>
  <c r="U23" i="1" s="1"/>
  <c r="S22" i="1"/>
  <c r="U22" i="1" s="1"/>
  <c r="S21" i="1"/>
  <c r="U21" i="1" s="1"/>
  <c r="S20" i="1"/>
  <c r="U20" i="1" s="1"/>
  <c r="S19" i="1"/>
  <c r="U19" i="1" s="1"/>
  <c r="S18" i="1"/>
  <c r="U18" i="1" s="1"/>
  <c r="S17" i="1"/>
  <c r="U17" i="1" s="1"/>
  <c r="S16" i="1"/>
  <c r="U16" i="1" s="1"/>
  <c r="S15" i="1"/>
  <c r="U15" i="1" s="1"/>
  <c r="S14" i="1"/>
  <c r="U14" i="1" s="1"/>
  <c r="S13" i="1"/>
  <c r="U13" i="1" s="1"/>
  <c r="S12" i="1"/>
  <c r="U12" i="1" s="1"/>
  <c r="S11" i="1"/>
  <c r="U11" i="1" s="1"/>
  <c r="S10" i="1"/>
  <c r="U10" i="1" s="1"/>
  <c r="S9" i="1"/>
  <c r="S373" i="1" l="1"/>
  <c r="U9" i="1"/>
  <c r="U3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54" authorId="0" shapeId="0" xr:uid="{5C88986E-6D67-4DB2-BF03-09CE306B6B33}">
      <text>
        <r>
          <rPr>
            <sz val="12"/>
            <color rgb="FF000000"/>
            <rFont val="Times New Roman"/>
            <family val="1"/>
          </rPr>
          <t>======
ID#AAAAK04qnzE
Windows User    (2020-11-24 01:21:04)
Khoa làm sai MSSV</t>
        </r>
      </text>
    </comment>
  </commentList>
</comments>
</file>

<file path=xl/sharedStrings.xml><?xml version="1.0" encoding="utf-8"?>
<sst xmlns="http://schemas.openxmlformats.org/spreadsheetml/2006/main" count="4114" uniqueCount="1865">
  <si>
    <t>BỘ GIÁO DỤC VÀ ĐÀO TẠO</t>
  </si>
  <si>
    <t>CỘNG HÒA XÃ HỘI CHỦ NGHĨA VIỆT NAM</t>
  </si>
  <si>
    <t>TRƯỜNG ĐẠI HỌC VINH</t>
  </si>
  <si>
    <t>Độc lập - Tự do - Hạnh phúc</t>
  </si>
  <si>
    <t xml:space="preserve">DANH SÁCH MIỄN GIẢM HỌC PHÍ CHO SINH VIÊN HỆ CHÍNH QUY </t>
  </si>
  <si>
    <t>HỌC KỲ I NĂM HỌC 2024 - 2025</t>
  </si>
  <si>
    <t>(Kèm theo Quyết định số                        /QĐ-ĐHV ngày         tháng        năm 2025 của Hiệu trưởng Trường Đại học Vinh)</t>
  </si>
  <si>
    <t>TT</t>
  </si>
  <si>
    <t>TTKV</t>
  </si>
  <si>
    <t>MS MG</t>
  </si>
  <si>
    <t>MSKB</t>
  </si>
  <si>
    <t>MSSV</t>
  </si>
  <si>
    <t>Họ và tên</t>
  </si>
  <si>
    <t>Khóa</t>
  </si>
  <si>
    <t>Lớp</t>
  </si>
  <si>
    <t>Ngành</t>
  </si>
  <si>
    <t>Mã ngành</t>
  </si>
  <si>
    <t>Khối ngành</t>
  </si>
  <si>
    <t>Trường, viện, khoa</t>
  </si>
  <si>
    <t>TT đơn vị</t>
  </si>
  <si>
    <t>Nhóm ngành</t>
  </si>
  <si>
    <t>Đối tượng 
chính sách</t>
  </si>
  <si>
    <t>Miễn/
giảm</t>
  </si>
  <si>
    <t>Ghi chú</t>
  </si>
  <si>
    <t>MỨC TRẦN ĐHV</t>
  </si>
  <si>
    <t>Số tiền đ/tháng</t>
  </si>
  <si>
    <t>Số tháng</t>
  </si>
  <si>
    <t>Thành tiền</t>
  </si>
  <si>
    <t>CMTND/
CCCD</t>
  </si>
  <si>
    <t>Số ĐT</t>
  </si>
  <si>
    <t xml:space="preserve">Số tài khoản </t>
  </si>
  <si>
    <t>Ngân hàng</t>
  </si>
  <si>
    <t>255714020130088</t>
  </si>
  <si>
    <t>Lý Thị Hà Linh</t>
  </si>
  <si>
    <t>64A2</t>
  </si>
  <si>
    <t>Giáo dục Mầm non</t>
  </si>
  <si>
    <t>Trường Sư phạm</t>
  </si>
  <si>
    <t>Con người HĐKC bị nhiềm CĐHH</t>
  </si>
  <si>
    <t>Miễn</t>
  </si>
  <si>
    <t>040307009948</t>
  </si>
  <si>
    <t>0334307559</t>
  </si>
  <si>
    <t>5150822419</t>
  </si>
  <si>
    <t>BIDV</t>
  </si>
  <si>
    <t>225714011410012</t>
  </si>
  <si>
    <t>Lê Thị Trà Giang</t>
  </si>
  <si>
    <t>63B</t>
  </si>
  <si>
    <t>Quản lý giáo dục</t>
  </si>
  <si>
    <t>Con người bị TNLĐ/BNN</t>
  </si>
  <si>
    <t xml:space="preserve">Giảm 50%  </t>
  </si>
  <si>
    <t>040304023699</t>
  </si>
  <si>
    <t>0384745223</t>
  </si>
  <si>
    <t>107877478398</t>
  </si>
  <si>
    <t xml:space="preserve">Vietin Bank </t>
  </si>
  <si>
    <t>225714011410015</t>
  </si>
  <si>
    <t>Nguyễn Thị Hồng Nhung</t>
  </si>
  <si>
    <t>SV khuyết tật</t>
  </si>
  <si>
    <t>040304018788</t>
  </si>
  <si>
    <t>0364349337</t>
  </si>
  <si>
    <t>106877478404</t>
  </si>
  <si>
    <t>235714011410016</t>
  </si>
  <si>
    <t>Vi Thị Yến Nhi</t>
  </si>
  <si>
    <t>64B</t>
  </si>
  <si>
    <t>DTTS, HN/HCN</t>
  </si>
  <si>
    <t>040305021023</t>
  </si>
  <si>
    <t>0867174916</t>
  </si>
  <si>
    <t>8840405666</t>
  </si>
  <si>
    <t>245714011410049</t>
  </si>
  <si>
    <t>Lộc Tú Uyên</t>
  </si>
  <si>
    <t>65B</t>
  </si>
  <si>
    <t>Thái</t>
  </si>
  <si>
    <t>040306001151</t>
  </si>
  <si>
    <t>0375235206</t>
  </si>
  <si>
    <t>8823670739</t>
  </si>
  <si>
    <t>245714011410070</t>
  </si>
  <si>
    <t>Vi Thị Thùy Ly</t>
  </si>
  <si>
    <t xml:space="preserve">DTTS, VĐBKK </t>
  </si>
  <si>
    <t>Giảm 70%</t>
  </si>
  <si>
    <t>040306018640</t>
  </si>
  <si>
    <t>0888485816</t>
  </si>
  <si>
    <t>8813670707</t>
  </si>
  <si>
    <t>255714011410007</t>
  </si>
  <si>
    <t>Nguyễn Thái Hà Linh</t>
  </si>
  <si>
    <t>66B</t>
  </si>
  <si>
    <t>040307007132</t>
  </si>
  <si>
    <t>0367601557</t>
  </si>
  <si>
    <t>8886518762</t>
  </si>
  <si>
    <t>255714011410031</t>
  </si>
  <si>
    <t>Lang Văn Viện</t>
  </si>
  <si>
    <t>040207020442</t>
  </si>
  <si>
    <t>0388097985</t>
  </si>
  <si>
    <t>8804516477</t>
  </si>
  <si>
    <t>225714021330004</t>
  </si>
  <si>
    <t>Hoàng Linh Chi</t>
  </si>
  <si>
    <t>63A</t>
  </si>
  <si>
    <t>Sư phạm Sinh học</t>
  </si>
  <si>
    <t>042304000825</t>
  </si>
  <si>
    <t>0327611937</t>
  </si>
  <si>
    <t>235714020930035</t>
  </si>
  <si>
    <t>Nguyễn Thị Quỳnh</t>
  </si>
  <si>
    <t>Sư phạm Toán học</t>
  </si>
  <si>
    <t>040305026663</t>
  </si>
  <si>
    <t>0356780389</t>
  </si>
  <si>
    <t>MB Bank</t>
  </si>
  <si>
    <t>245731040310063</t>
  </si>
  <si>
    <t>Nguyễn Thị Thùy Linh</t>
  </si>
  <si>
    <t>Tâm lý học giáo dục</t>
  </si>
  <si>
    <t>040306018619</t>
  </si>
  <si>
    <t>0394459268</t>
  </si>
  <si>
    <t>8803670771</t>
  </si>
  <si>
    <t>255731040310036</t>
  </si>
  <si>
    <t>Lê Thị Thu Huyền</t>
  </si>
  <si>
    <t>040307011569</t>
  </si>
  <si>
    <t>0889513772</t>
  </si>
  <si>
    <t>5141130297</t>
  </si>
  <si>
    <t>255731040310007</t>
  </si>
  <si>
    <t>Hoàng Thị Hà Lê</t>
  </si>
  <si>
    <t>Con TB/BB</t>
  </si>
  <si>
    <t>040307004595</t>
  </si>
  <si>
    <t>0378836520</t>
  </si>
  <si>
    <t>8866518804</t>
  </si>
  <si>
    <t>255731040310013</t>
  </si>
  <si>
    <t>Nguyễn Thị Như Quỳnh</t>
  </si>
  <si>
    <t>040307007897</t>
  </si>
  <si>
    <t>0327390177</t>
  </si>
  <si>
    <t>8816518823</t>
  </si>
  <si>
    <t>255731040310061</t>
  </si>
  <si>
    <t>Vi Lưu Khánh Ly</t>
  </si>
  <si>
    <t>040306016910</t>
  </si>
  <si>
    <t>0964549807</t>
  </si>
  <si>
    <t>8856518810</t>
  </si>
  <si>
    <t>255731040310015</t>
  </si>
  <si>
    <t>Hồ Phương Thảo</t>
  </si>
  <si>
    <t>040307001179</t>
  </si>
  <si>
    <t>0819818318</t>
  </si>
  <si>
    <t>8866518825</t>
  </si>
  <si>
    <t>255731040310024</t>
  </si>
  <si>
    <t>Ngân Thị Lê Na</t>
  </si>
  <si>
    <t>66B1</t>
  </si>
  <si>
    <t>040307028190</t>
  </si>
  <si>
    <t>0389627225</t>
  </si>
  <si>
    <t>8896518816</t>
  </si>
  <si>
    <t>255714011410029</t>
  </si>
  <si>
    <t>Lương Mạnh Tiến</t>
  </si>
  <si>
    <t>040207601874</t>
  </si>
  <si>
    <t>0344145684</t>
  </si>
  <si>
    <t>888818962888</t>
  </si>
  <si>
    <t>225734030110162</t>
  </si>
  <si>
    <t>Lê Thị Mai</t>
  </si>
  <si>
    <t>63B3</t>
  </si>
  <si>
    <t>Kế toán</t>
  </si>
  <si>
    <t>Trường Kinh tế</t>
  </si>
  <si>
    <t>042304007637</t>
  </si>
  <si>
    <t>0363063134</t>
  </si>
  <si>
    <t>5210379044</t>
  </si>
  <si>
    <t>225734030110008</t>
  </si>
  <si>
    <t>Phạm Thị Thuý Huyền</t>
  </si>
  <si>
    <t>63B1</t>
  </si>
  <si>
    <t>042304001975</t>
  </si>
  <si>
    <t>0968447907</t>
  </si>
  <si>
    <t>5107069878</t>
  </si>
  <si>
    <t>225734030110110</t>
  </si>
  <si>
    <t>Nguyễn Sỹ Hiếu</t>
  </si>
  <si>
    <t>040204000369</t>
  </si>
  <si>
    <t>0799102256</t>
  </si>
  <si>
    <t>225734030110043</t>
  </si>
  <si>
    <t>Nguyễn Thị Minh Thư</t>
  </si>
  <si>
    <t>040304021078</t>
  </si>
  <si>
    <t>0375661097</t>
  </si>
  <si>
    <t>5111029048</t>
  </si>
  <si>
    <t>225734030110391</t>
  </si>
  <si>
    <t>Trần Thị Kim Oanh</t>
  </si>
  <si>
    <t>63B8</t>
  </si>
  <si>
    <t>040303003833</t>
  </si>
  <si>
    <t>0345758537</t>
  </si>
  <si>
    <t>5107069036</t>
  </si>
  <si>
    <t>225734030110284</t>
  </si>
  <si>
    <t>Hoàng Thị Ảnh</t>
  </si>
  <si>
    <t>63B5</t>
  </si>
  <si>
    <t>040304007730</t>
  </si>
  <si>
    <t>0398955259</t>
  </si>
  <si>
    <t>5120992676</t>
  </si>
  <si>
    <t>225734030110369</t>
  </si>
  <si>
    <t>Nguyễn Thị Hải Yến</t>
  </si>
  <si>
    <t>63B4</t>
  </si>
  <si>
    <t>042303002523</t>
  </si>
  <si>
    <t>0378061008</t>
  </si>
  <si>
    <t>5107069656</t>
  </si>
  <si>
    <t>225734030110063</t>
  </si>
  <si>
    <t>Nguyễn Thị Mỹ Duyền</t>
  </si>
  <si>
    <t>Thổ</t>
  </si>
  <si>
    <t>040304003566</t>
  </si>
  <si>
    <t>0375646928</t>
  </si>
  <si>
    <t>5107069780</t>
  </si>
  <si>
    <t>225734030110365</t>
  </si>
  <si>
    <t>Vi Thị Thắm</t>
  </si>
  <si>
    <t>040304004627</t>
  </si>
  <si>
    <t>0325536753</t>
  </si>
  <si>
    <t>5141088785</t>
  </si>
  <si>
    <t>225734030110243</t>
  </si>
  <si>
    <t>Vi Thị Thanh</t>
  </si>
  <si>
    <t>63B2</t>
  </si>
  <si>
    <t>040304005914</t>
  </si>
  <si>
    <t>0375121351</t>
  </si>
  <si>
    <t>5141097754</t>
  </si>
  <si>
    <t>225734030110245</t>
  </si>
  <si>
    <t>Quang Thị Lệ</t>
  </si>
  <si>
    <t>225734030110280</t>
  </si>
  <si>
    <t>Đặng Thị Phương Uyên</t>
  </si>
  <si>
    <t>040304023363</t>
  </si>
  <si>
    <t>0989019075</t>
  </si>
  <si>
    <t>225734030110380</t>
  </si>
  <si>
    <t>Cụt Hoài An</t>
  </si>
  <si>
    <t>63B6</t>
  </si>
  <si>
    <t>Khơ mú</t>
  </si>
  <si>
    <t>040304016211</t>
  </si>
  <si>
    <t>0387980117</t>
  </si>
  <si>
    <t>5107058177</t>
  </si>
  <si>
    <t>235734030110038</t>
  </si>
  <si>
    <t>Trần Thị Thu Hằng</t>
  </si>
  <si>
    <t>64B1</t>
  </si>
  <si>
    <t>040305001637</t>
  </si>
  <si>
    <t>0367315661</t>
  </si>
  <si>
    <t>235734030110188</t>
  </si>
  <si>
    <t>Bùi Lê Khánh Ly</t>
  </si>
  <si>
    <t>64B4</t>
  </si>
  <si>
    <t>042304001033</t>
  </si>
  <si>
    <t>0911971496</t>
  </si>
  <si>
    <t>101879945601</t>
  </si>
  <si>
    <t>235734030110100</t>
  </si>
  <si>
    <t>Ngô Thị Ngọc Anh</t>
  </si>
  <si>
    <t>64B2</t>
  </si>
  <si>
    <t>040305004470</t>
  </si>
  <si>
    <t>0397329205</t>
  </si>
  <si>
    <t>104879945471</t>
  </si>
  <si>
    <t>235734030110310</t>
  </si>
  <si>
    <t>Vi Thị Mơ</t>
  </si>
  <si>
    <t>64B7</t>
  </si>
  <si>
    <t>040305001248</t>
  </si>
  <si>
    <t>0337694535</t>
  </si>
  <si>
    <t>109879945776</t>
  </si>
  <si>
    <t>235734030110014</t>
  </si>
  <si>
    <t>Vi Thị Hương</t>
  </si>
  <si>
    <t>040305020956</t>
  </si>
  <si>
    <t>0367482891</t>
  </si>
  <si>
    <t>235734030110106</t>
  </si>
  <si>
    <t>Hà Thị Mai Ly</t>
  </si>
  <si>
    <t>64B3</t>
  </si>
  <si>
    <t>040305019422</t>
  </si>
  <si>
    <t>0389583337</t>
  </si>
  <si>
    <t>103879945542</t>
  </si>
  <si>
    <t>235734030110055</t>
  </si>
  <si>
    <t>Hà Ngọc Anh</t>
  </si>
  <si>
    <t>040305025784</t>
  </si>
  <si>
    <t>0563376448</t>
  </si>
  <si>
    <t>106879945466</t>
  </si>
  <si>
    <t>235734030110228</t>
  </si>
  <si>
    <t>Nguyễn Thị Huyền Trang</t>
  </si>
  <si>
    <t>64B5</t>
  </si>
  <si>
    <t>Con mồ côi</t>
  </si>
  <si>
    <t>040304000526</t>
  </si>
  <si>
    <t>0911982004</t>
  </si>
  <si>
    <t>103879945676</t>
  </si>
  <si>
    <t>235734030116001</t>
  </si>
  <si>
    <t>Đậu Thị Hoài</t>
  </si>
  <si>
    <t>040305022267</t>
  </si>
  <si>
    <t>0369173268</t>
  </si>
  <si>
    <t>245734030110294</t>
  </si>
  <si>
    <t>Lương Gia Bảo</t>
  </si>
  <si>
    <t>65B6</t>
  </si>
  <si>
    <t>040206026271</t>
  </si>
  <si>
    <t>0347918825</t>
  </si>
  <si>
    <t>245734030110376</t>
  </si>
  <si>
    <t>Moong Duy Thắng</t>
  </si>
  <si>
    <t>65B7</t>
  </si>
  <si>
    <t>Khơ Mú</t>
  </si>
  <si>
    <t>040206026757</t>
  </si>
  <si>
    <t>0816310703</t>
  </si>
  <si>
    <t>245734030110069</t>
  </si>
  <si>
    <t>Trần Lê Hà An</t>
  </si>
  <si>
    <t>65B2</t>
  </si>
  <si>
    <t>042306006566</t>
  </si>
  <si>
    <t>0326751656</t>
  </si>
  <si>
    <t>102882867629</t>
  </si>
  <si>
    <t>245734030110378</t>
  </si>
  <si>
    <t>Đặng Thị Bính</t>
  </si>
  <si>
    <t>040306006133</t>
  </si>
  <si>
    <t>0336908256</t>
  </si>
  <si>
    <t>104882867942</t>
  </si>
  <si>
    <t>245734030110126</t>
  </si>
  <si>
    <t>Vi Dương Thái</t>
  </si>
  <si>
    <t>65B3</t>
  </si>
  <si>
    <t>040206013794</t>
  </si>
  <si>
    <t>0977193906</t>
  </si>
  <si>
    <t>106882867691</t>
  </si>
  <si>
    <t>245734030110163</t>
  </si>
  <si>
    <t>Thái Thị Phương Vi</t>
  </si>
  <si>
    <t>040306003397</t>
  </si>
  <si>
    <t>0849210511</t>
  </si>
  <si>
    <t>103882867724</t>
  </si>
  <si>
    <t>255734030110324</t>
  </si>
  <si>
    <t>Đặng Thảo Minh</t>
  </si>
  <si>
    <t>66B7</t>
  </si>
  <si>
    <t>040307011122</t>
  </si>
  <si>
    <t>0963637276</t>
  </si>
  <si>
    <t>06720716102014</t>
  </si>
  <si>
    <t>255734030110105</t>
  </si>
  <si>
    <t>Phan Thị Bảo Ngọc</t>
  </si>
  <si>
    <t>66B3</t>
  </si>
  <si>
    <t>042407000437</t>
  </si>
  <si>
    <t>0357265014</t>
  </si>
  <si>
    <t>Vietcom Bank</t>
  </si>
  <si>
    <t>255734030110131</t>
  </si>
  <si>
    <t>Lê Thị Hải Yến</t>
  </si>
  <si>
    <t>040307018655</t>
  </si>
  <si>
    <t>0818440935</t>
  </si>
  <si>
    <t>255734030110282</t>
  </si>
  <si>
    <t>Trần Thị Quỳnh Trang</t>
  </si>
  <si>
    <t>66B6</t>
  </si>
  <si>
    <t>042307003910</t>
  </si>
  <si>
    <t>0853.838.824</t>
  </si>
  <si>
    <t>255734030110318</t>
  </si>
  <si>
    <t>Lê Thị Thảo Ly</t>
  </si>
  <si>
    <t>040307010961</t>
  </si>
  <si>
    <t>0385730236</t>
  </si>
  <si>
    <t>255734030110327</t>
  </si>
  <si>
    <t>Vi Thị Bảo Trâm</t>
  </si>
  <si>
    <t>040307006236</t>
  </si>
  <si>
    <t>0346975609</t>
  </si>
  <si>
    <t>255734030110301</t>
  </si>
  <si>
    <t>Vy Diệu Ánh</t>
  </si>
  <si>
    <t>040307019098</t>
  </si>
  <si>
    <t>0325792715</t>
  </si>
  <si>
    <t>0778564844</t>
  </si>
  <si>
    <t>255734030110221</t>
  </si>
  <si>
    <t>Nguyễn Thị Giang</t>
  </si>
  <si>
    <t>66B5</t>
  </si>
  <si>
    <t>040307013472</t>
  </si>
  <si>
    <t>0349571330</t>
  </si>
  <si>
    <t>225731010110113</t>
  </si>
  <si>
    <t>Nguyễn Đức Thắng</t>
  </si>
  <si>
    <t>Kinh tế</t>
  </si>
  <si>
    <t>042204001194</t>
  </si>
  <si>
    <t>0398021120</t>
  </si>
  <si>
    <t>1035621748</t>
  </si>
  <si>
    <t>225731010110061</t>
  </si>
  <si>
    <t>Võ Vân Anh</t>
  </si>
  <si>
    <t>040304019297</t>
  </si>
  <si>
    <t>0979362103</t>
  </si>
  <si>
    <t>19038886919016</t>
  </si>
  <si>
    <t>Techcom Bank</t>
  </si>
  <si>
    <t>235731010110107</t>
  </si>
  <si>
    <t>Nguyễn Bảo Huy</t>
  </si>
  <si>
    <t>042204001232</t>
  </si>
  <si>
    <t>0941708104</t>
  </si>
  <si>
    <t>5200539072</t>
  </si>
  <si>
    <t>255731010110056</t>
  </si>
  <si>
    <t>Nguyễn Thị Phương Anh</t>
  </si>
  <si>
    <t>66B2</t>
  </si>
  <si>
    <t>0919345194</t>
  </si>
  <si>
    <t>8863037035</t>
  </si>
  <si>
    <t>255731010110052</t>
  </si>
  <si>
    <t>Võ Thị Lệ Quyên</t>
  </si>
  <si>
    <t>0357097501</t>
  </si>
  <si>
    <t>1061138307</t>
  </si>
  <si>
    <t>255731010110058</t>
  </si>
  <si>
    <t>0343328643</t>
  </si>
  <si>
    <t>255731010110079</t>
  </si>
  <si>
    <t>Vi Thị Lâm Nhi</t>
  </si>
  <si>
    <t>0867553407</t>
  </si>
  <si>
    <t>0975423354</t>
  </si>
  <si>
    <t>255731010910020</t>
  </si>
  <si>
    <t>Đoàn Quỳnh Trâm</t>
  </si>
  <si>
    <t>Kinh tế số</t>
  </si>
  <si>
    <t>0325008307</t>
  </si>
  <si>
    <t>225734010110102</t>
  </si>
  <si>
    <t>Lương Thị Hoài Thương</t>
  </si>
  <si>
    <t>Quản trị kinh doanh</t>
  </si>
  <si>
    <t>040304014201</t>
  </si>
  <si>
    <t>0842476469</t>
  </si>
  <si>
    <t>51410001089812</t>
  </si>
  <si>
    <t>225734010110117</t>
  </si>
  <si>
    <t>Phan Thị Thương</t>
  </si>
  <si>
    <t>040304003722</t>
  </si>
  <si>
    <t>0368225491</t>
  </si>
  <si>
    <t>1022163955</t>
  </si>
  <si>
    <t>225734010116003</t>
  </si>
  <si>
    <t>Hoàng Công Thắng</t>
  </si>
  <si>
    <t>040204008136</t>
  </si>
  <si>
    <t>0876400746</t>
  </si>
  <si>
    <t>0389441060</t>
  </si>
  <si>
    <t>OCB</t>
  </si>
  <si>
    <t>235734010110103</t>
  </si>
  <si>
    <t>Nguyễn Thị Công Nhân</t>
  </si>
  <si>
    <t>040305010924</t>
  </si>
  <si>
    <t>0352956097</t>
  </si>
  <si>
    <t>103880091286</t>
  </si>
  <si>
    <t>235734010110071</t>
  </si>
  <si>
    <t>Nguyễn Thị Mỹ Nhân</t>
  </si>
  <si>
    <t>040304011297</t>
  </si>
  <si>
    <t>0342847543</t>
  </si>
  <si>
    <t>0403358010104</t>
  </si>
  <si>
    <t>235734010110033</t>
  </si>
  <si>
    <t>Trương Đan Huy</t>
  </si>
  <si>
    <t>040205016956</t>
  </si>
  <si>
    <t>0898119213</t>
  </si>
  <si>
    <t>5141114714</t>
  </si>
  <si>
    <t>235734010110070</t>
  </si>
  <si>
    <t>Lô Thị Diệu Linh</t>
  </si>
  <si>
    <t>040305019151</t>
  </si>
  <si>
    <t>0362023977</t>
  </si>
  <si>
    <t>11901102005</t>
  </si>
  <si>
    <t>245734010110106</t>
  </si>
  <si>
    <t>Nguyễn Xuân Bắc</t>
  </si>
  <si>
    <t>040206018860</t>
  </si>
  <si>
    <t>0334324236</t>
  </si>
  <si>
    <t>2225678868</t>
  </si>
  <si>
    <t>245734010110036</t>
  </si>
  <si>
    <t>Nguyễn Tài Lê Văn</t>
  </si>
  <si>
    <t>65B1</t>
  </si>
  <si>
    <t>040203009303</t>
  </si>
  <si>
    <t>0338130902</t>
  </si>
  <si>
    <t>5110881111</t>
  </si>
  <si>
    <t>255734010110095</t>
  </si>
  <si>
    <t>Hà Ngọc Ánh</t>
  </si>
  <si>
    <t>040307022211</t>
  </si>
  <si>
    <t>0376373126</t>
  </si>
  <si>
    <t>255734010110116</t>
  </si>
  <si>
    <t>Nguyễn Thị Việt Thảo</t>
  </si>
  <si>
    <t>66B QTKD CLC</t>
  </si>
  <si>
    <t>Quản trị kinh doanh (Chương trình có đào tạo bằng tiếng Anh)</t>
  </si>
  <si>
    <t>040307012007</t>
  </si>
  <si>
    <t>0866928299</t>
  </si>
  <si>
    <t>8866928299</t>
  </si>
  <si>
    <t>225734010110089</t>
  </si>
  <si>
    <t>Bùi Thị Linh Trang</t>
  </si>
  <si>
    <t>Quản trị kinh doanh CLC</t>
  </si>
  <si>
    <t>0366909215</t>
  </si>
  <si>
    <t>51810000801686</t>
  </si>
  <si>
    <t>225734020110113</t>
  </si>
  <si>
    <t>Võ Yến Nhi</t>
  </si>
  <si>
    <t>Tài chính - Ngân hàng</t>
  </si>
  <si>
    <t>042304004060</t>
  </si>
  <si>
    <t>0345424204</t>
  </si>
  <si>
    <t>5103658821</t>
  </si>
  <si>
    <t>225734020110135</t>
  </si>
  <si>
    <t>Tăng Thế Bảo</t>
  </si>
  <si>
    <t>040204000925</t>
  </si>
  <si>
    <t>0852867743</t>
  </si>
  <si>
    <t>3610666899999</t>
  </si>
  <si>
    <t>Agibank</t>
  </si>
  <si>
    <t>245734020110143</t>
  </si>
  <si>
    <t>Phạm Quỳnh Anh</t>
  </si>
  <si>
    <t>040306021393</t>
  </si>
  <si>
    <t>0946698906</t>
  </si>
  <si>
    <t>8834558945</t>
  </si>
  <si>
    <t>245734020110042</t>
  </si>
  <si>
    <t>Nguyễn Lê Hà Chi</t>
  </si>
  <si>
    <t>038306024314</t>
  </si>
  <si>
    <t>0375846206</t>
  </si>
  <si>
    <t>245734020110056</t>
  </si>
  <si>
    <t>Đậu Thị Oanh</t>
  </si>
  <si>
    <t>040306020179</t>
  </si>
  <si>
    <t>0353385470</t>
  </si>
  <si>
    <t>255734020110046</t>
  </si>
  <si>
    <t>Lê Hồng Lộc</t>
  </si>
  <si>
    <t>0828648007</t>
  </si>
  <si>
    <t>8895703104</t>
  </si>
  <si>
    <t>255734020110030</t>
  </si>
  <si>
    <t>Vi Anh Dũng</t>
  </si>
  <si>
    <t>0399278032</t>
  </si>
  <si>
    <t>8844081192</t>
  </si>
  <si>
    <t>255734012210033</t>
  </si>
  <si>
    <t>Nguyễn Thị Anh Trúc</t>
  </si>
  <si>
    <t>Thương mại điện tử</t>
  </si>
  <si>
    <t>245734012210024</t>
  </si>
  <si>
    <t>Trương Khánh An</t>
  </si>
  <si>
    <t xml:space="preserve">Thương mại điện tử </t>
  </si>
  <si>
    <t>0332279257</t>
  </si>
  <si>
    <t>108883059912</t>
  </si>
  <si>
    <t>245734012210025</t>
  </si>
  <si>
    <t>Đinh Thị Hạnh Loan</t>
  </si>
  <si>
    <t>040306001073</t>
  </si>
  <si>
    <t>0866230927</t>
  </si>
  <si>
    <t>1027305426</t>
  </si>
  <si>
    <t>255734012210021</t>
  </si>
  <si>
    <t>Hoàng Thị Trà Giang</t>
  </si>
  <si>
    <t>0942388507</t>
  </si>
  <si>
    <t>255734012210074</t>
  </si>
  <si>
    <t>Lê Kim Huệ</t>
  </si>
  <si>
    <t>0385984302</t>
  </si>
  <si>
    <t>0328393771</t>
  </si>
  <si>
    <t>245776010110018</t>
  </si>
  <si>
    <t>Nguyễn Thị Thu Hà</t>
  </si>
  <si>
    <t>Công tác xã hội</t>
  </si>
  <si>
    <t>Trường KHXH&amp;NV</t>
  </si>
  <si>
    <t>042306005128</t>
  </si>
  <si>
    <t>0817883006</t>
  </si>
  <si>
    <t>0904782835</t>
  </si>
  <si>
    <t>255776010110002</t>
  </si>
  <si>
    <t>Lương Quý Đạt</t>
  </si>
  <si>
    <t>040207007020</t>
  </si>
  <si>
    <t>0984967244</t>
  </si>
  <si>
    <t>255776010110034</t>
  </si>
  <si>
    <t>Hoàng Thị Ngọc Bích</t>
  </si>
  <si>
    <t>Tày</t>
  </si>
  <si>
    <t>040307021648</t>
  </si>
  <si>
    <t>0356236171</t>
  </si>
  <si>
    <t>255776010110045</t>
  </si>
  <si>
    <t>Lê Thị Triều Vy</t>
  </si>
  <si>
    <t>040307017460</t>
  </si>
  <si>
    <t>0858681007</t>
  </si>
  <si>
    <t>255776010110044</t>
  </si>
  <si>
    <t>Mạc Hải Đăng</t>
  </si>
  <si>
    <t>040206009500</t>
  </si>
  <si>
    <t>0827318567</t>
  </si>
  <si>
    <t>1045780226</t>
  </si>
  <si>
    <t>255776010110020</t>
  </si>
  <si>
    <t>040307007295</t>
  </si>
  <si>
    <t>0972862756</t>
  </si>
  <si>
    <t>972862756</t>
  </si>
  <si>
    <t>VIB</t>
  </si>
  <si>
    <t>255776010110007</t>
  </si>
  <si>
    <t>Lê Thị Hương Luyến</t>
  </si>
  <si>
    <t>040307021506</t>
  </si>
  <si>
    <t>0394772358</t>
  </si>
  <si>
    <t>48528082071012</t>
  </si>
  <si>
    <t>255776010110028</t>
  </si>
  <si>
    <t>Trương Thị Liên</t>
  </si>
  <si>
    <t>040305011593</t>
  </si>
  <si>
    <t>0869165924</t>
  </si>
  <si>
    <t>255776010110057</t>
  </si>
  <si>
    <t>Lương Minh Vượng</t>
  </si>
  <si>
    <t>040206000063</t>
  </si>
  <si>
    <t>0835683228</t>
  </si>
  <si>
    <t>104864326777</t>
  </si>
  <si>
    <t>225731020110004</t>
  </si>
  <si>
    <t>Vi Tuấn Anh</t>
  </si>
  <si>
    <t>Chính trị học</t>
  </si>
  <si>
    <t>040204025452</t>
  </si>
  <si>
    <t>0358138358</t>
  </si>
  <si>
    <t>51010007027991</t>
  </si>
  <si>
    <t>225731020110003</t>
  </si>
  <si>
    <t>Hờ Y Rìa</t>
  </si>
  <si>
    <t>H'Mông</t>
  </si>
  <si>
    <t>0837948567</t>
  </si>
  <si>
    <t>235731020110005</t>
  </si>
  <si>
    <t>Lầu Bá Giang</t>
  </si>
  <si>
    <t>0402030007720</t>
  </si>
  <si>
    <t>0917398271</t>
  </si>
  <si>
    <t>235731020110009</t>
  </si>
  <si>
    <t>040305026424</t>
  </si>
  <si>
    <t>0942493254</t>
  </si>
  <si>
    <t>106880172955</t>
  </si>
  <si>
    <t>245731020110005</t>
  </si>
  <si>
    <t>Trịnh Hải Anh</t>
  </si>
  <si>
    <t>038206028828</t>
  </si>
  <si>
    <t>0813658919</t>
  </si>
  <si>
    <t>3532205920149</t>
  </si>
  <si>
    <t>245731020110010</t>
  </si>
  <si>
    <t>Hoa Thị Giáng Khiết</t>
  </si>
  <si>
    <t>040306014013</t>
  </si>
  <si>
    <t>0962796494</t>
  </si>
  <si>
    <t>3618205219916</t>
  </si>
  <si>
    <t>245731020110021</t>
  </si>
  <si>
    <t>Vi Thị Tâm Như</t>
  </si>
  <si>
    <t>040306017189</t>
  </si>
  <si>
    <t>0327469892</t>
  </si>
  <si>
    <t>21110612828469</t>
  </si>
  <si>
    <t>255731020110021</t>
  </si>
  <si>
    <t>Đậu Thị Khánh Ly</t>
  </si>
  <si>
    <t>042307008484</t>
  </si>
  <si>
    <t>0336058224</t>
  </si>
  <si>
    <t>109885332472</t>
  </si>
  <si>
    <t>225738010110090</t>
  </si>
  <si>
    <t>Nguyễn Hoàn Phúc</t>
  </si>
  <si>
    <t>Luật</t>
  </si>
  <si>
    <t>040304005741</t>
  </si>
  <si>
    <t>0359871300</t>
  </si>
  <si>
    <t>5103380391</t>
  </si>
  <si>
    <t>225738010110078</t>
  </si>
  <si>
    <t>Quàng Văn Thắng</t>
  </si>
  <si>
    <t>011203000996</t>
  </si>
  <si>
    <t>0349469370</t>
  </si>
  <si>
    <t>0819544448</t>
  </si>
  <si>
    <t>VP Bank</t>
  </si>
  <si>
    <t>235738010110039</t>
  </si>
  <si>
    <t xml:space="preserve">Tày </t>
  </si>
  <si>
    <t>040205014953</t>
  </si>
  <si>
    <t>0828601391</t>
  </si>
  <si>
    <t>108879882842</t>
  </si>
  <si>
    <t>235738010110098</t>
  </si>
  <si>
    <t>Hoàng Nguyên Quý</t>
  </si>
  <si>
    <t>020203002567</t>
  </si>
  <si>
    <t>0825986366</t>
  </si>
  <si>
    <t>1032419661</t>
  </si>
  <si>
    <t>235738010110114</t>
  </si>
  <si>
    <t>Lê Công Anh</t>
  </si>
  <si>
    <t>040205002277</t>
  </si>
  <si>
    <t>0763096626</t>
  </si>
  <si>
    <t>999990763096626</t>
  </si>
  <si>
    <t>HD Bank</t>
  </si>
  <si>
    <t>235738010110138</t>
  </si>
  <si>
    <t>Moong Văn Chương</t>
  </si>
  <si>
    <t>040204028269</t>
  </si>
  <si>
    <t>0944860013</t>
  </si>
  <si>
    <t>5012095809</t>
  </si>
  <si>
    <t>235738010110054</t>
  </si>
  <si>
    <t>Sồng A Di</t>
  </si>
  <si>
    <t>014205002357</t>
  </si>
  <si>
    <t>0378532540</t>
  </si>
  <si>
    <t>235738010110078</t>
  </si>
  <si>
    <t>Đặng Hữu Vĩnh</t>
  </si>
  <si>
    <t>042205001354</t>
  </si>
  <si>
    <t>0899601336</t>
  </si>
  <si>
    <t>150010102005</t>
  </si>
  <si>
    <t>245738010110092</t>
  </si>
  <si>
    <t>Bùi Hương Trà</t>
  </si>
  <si>
    <t>038305024334</t>
  </si>
  <si>
    <t>0397848591</t>
  </si>
  <si>
    <t>1036252124</t>
  </si>
  <si>
    <t>245738010110180</t>
  </si>
  <si>
    <t>Rcom H' Giang</t>
  </si>
  <si>
    <t xml:space="preserve">Gia Rai </t>
  </si>
  <si>
    <t>064306009224</t>
  </si>
  <si>
    <t>0869110626</t>
  </si>
  <si>
    <t>8803251124</t>
  </si>
  <si>
    <t>245738010110123</t>
  </si>
  <si>
    <t>Lô Hoàng Linh</t>
  </si>
  <si>
    <t>040306021038</t>
  </si>
  <si>
    <t>0944035798</t>
  </si>
  <si>
    <t>103882791172</t>
  </si>
  <si>
    <t>245738010110153</t>
  </si>
  <si>
    <t>Lô Thị Loan</t>
  </si>
  <si>
    <t>040305009495</t>
  </si>
  <si>
    <t>0919301697</t>
  </si>
  <si>
    <t>0947651411</t>
  </si>
  <si>
    <t>245738010110110</t>
  </si>
  <si>
    <t>Nguyễn Văn An</t>
  </si>
  <si>
    <t>040206015156</t>
  </si>
  <si>
    <t>0336371364</t>
  </si>
  <si>
    <t>102882791106</t>
  </si>
  <si>
    <t>245738010110141</t>
  </si>
  <si>
    <t>Hờ A Phía</t>
  </si>
  <si>
    <t>014206006476</t>
  </si>
  <si>
    <t>0946167226</t>
  </si>
  <si>
    <t>1057041003724</t>
  </si>
  <si>
    <t>BV Bank</t>
  </si>
  <si>
    <t>245738010110157</t>
  </si>
  <si>
    <t>La Vi Tuấn Khang</t>
  </si>
  <si>
    <t>65B4</t>
  </si>
  <si>
    <t xml:space="preserve">Đan Lai </t>
  </si>
  <si>
    <t>040206020240</t>
  </si>
  <si>
    <t>0388988104</t>
  </si>
  <si>
    <t>245738010110177</t>
  </si>
  <si>
    <t>LỮ PHƯƠNG ANH</t>
  </si>
  <si>
    <t xml:space="preserve">Thái </t>
  </si>
  <si>
    <t>040306008900</t>
  </si>
  <si>
    <t>0966537789</t>
  </si>
  <si>
    <t>105882791200</t>
  </si>
  <si>
    <t>245738010110008</t>
  </si>
  <si>
    <t>Lỳ Bá Sơn</t>
  </si>
  <si>
    <t>Hmông</t>
  </si>
  <si>
    <t>040206000178</t>
  </si>
  <si>
    <t>0383015206</t>
  </si>
  <si>
    <t>109885290526</t>
  </si>
  <si>
    <t>255738010110044</t>
  </si>
  <si>
    <t>Moong Văn Dao</t>
  </si>
  <si>
    <t>040207021040</t>
  </si>
  <si>
    <t>0329505478</t>
  </si>
  <si>
    <t>727979220608</t>
  </si>
  <si>
    <t>LP Bank</t>
  </si>
  <si>
    <t>255738010110153</t>
  </si>
  <si>
    <t>Trần Thị Vân Anh</t>
  </si>
  <si>
    <t>66B4</t>
  </si>
  <si>
    <t>040307016735</t>
  </si>
  <si>
    <t>0852588469</t>
  </si>
  <si>
    <t>838383000337</t>
  </si>
  <si>
    <t>255738010110177</t>
  </si>
  <si>
    <t>Lê Đình Anh Dũng</t>
  </si>
  <si>
    <t>040207018150</t>
  </si>
  <si>
    <t>0359389049</t>
  </si>
  <si>
    <t>255738010110214</t>
  </si>
  <si>
    <t>HÀ VĂN SƠN</t>
  </si>
  <si>
    <t>040207006859</t>
  </si>
  <si>
    <t>0358974182</t>
  </si>
  <si>
    <t>255738010110162</t>
  </si>
  <si>
    <t>Lương Vi Hiệu Đan</t>
  </si>
  <si>
    <t>040307000417</t>
  </si>
  <si>
    <t>0974540513</t>
  </si>
  <si>
    <t>245738010310017</t>
  </si>
  <si>
    <t>Cụt Tiến Hưng</t>
  </si>
  <si>
    <t>Luật dân sự và tố tụng dân sự</t>
  </si>
  <si>
    <t xml:space="preserve">Mường </t>
  </si>
  <si>
    <t>040206005874</t>
  </si>
  <si>
    <t>0814297904</t>
  </si>
  <si>
    <t>255738010210012</t>
  </si>
  <si>
    <t>Trương Thị An Ni</t>
  </si>
  <si>
    <t>Luật hiến pháp và luật hành chính</t>
  </si>
  <si>
    <t xml:space="preserve">Thổ </t>
  </si>
  <si>
    <t>040307018537</t>
  </si>
  <si>
    <t>0353187408</t>
  </si>
  <si>
    <t>5121098647</t>
  </si>
  <si>
    <t>255738010210030</t>
  </si>
  <si>
    <t>Nguyễn Ngọc Tường Vy</t>
  </si>
  <si>
    <t>Dao</t>
  </si>
  <si>
    <t>066307012176</t>
  </si>
  <si>
    <t>0399347438</t>
  </si>
  <si>
    <t>225738010710046</t>
  </si>
  <si>
    <t>Nguyễn Thị Hạnh</t>
  </si>
  <si>
    <t>Luật kinh tế</t>
  </si>
  <si>
    <t>042304013174</t>
  </si>
  <si>
    <t>0367679077</t>
  </si>
  <si>
    <t>5103380531</t>
  </si>
  <si>
    <t>225738010710044</t>
  </si>
  <si>
    <t>Lô Khánh Ly</t>
  </si>
  <si>
    <t>040304024699</t>
  </si>
  <si>
    <t>0334069543</t>
  </si>
  <si>
    <t>51010003381093</t>
  </si>
  <si>
    <t>225738010710134</t>
  </si>
  <si>
    <t>Võ Thị Cát Lộc</t>
  </si>
  <si>
    <t>040304004514</t>
  </si>
  <si>
    <t>0822782666</t>
  </si>
  <si>
    <t>51010003381084</t>
  </si>
  <si>
    <t>235738010710007</t>
  </si>
  <si>
    <t>Đặng Thị Huyền</t>
  </si>
  <si>
    <t>040305009302</t>
  </si>
  <si>
    <t>0327187896</t>
  </si>
  <si>
    <t>75526717012207</t>
  </si>
  <si>
    <t>235738010710055</t>
  </si>
  <si>
    <t>Phạm Vũ Hà</t>
  </si>
  <si>
    <t>038205026719</t>
  </si>
  <si>
    <t>0327220118</t>
  </si>
  <si>
    <t>100879883084</t>
  </si>
  <si>
    <t>235738010710069</t>
  </si>
  <si>
    <t>Đường Hải Phúc</t>
  </si>
  <si>
    <t>049205006170</t>
  </si>
  <si>
    <t>0983431948</t>
  </si>
  <si>
    <t>235738010710037</t>
  </si>
  <si>
    <t>Nguyễn Ngọc Minh Anh</t>
  </si>
  <si>
    <t>066305008554</t>
  </si>
  <si>
    <t>0969215547</t>
  </si>
  <si>
    <t>109879883006</t>
  </si>
  <si>
    <t>245738010710150</t>
  </si>
  <si>
    <t>Ngô Mạnh Quân</t>
  </si>
  <si>
    <t>040206001265</t>
  </si>
  <si>
    <t>0826218567</t>
  </si>
  <si>
    <t xml:space="preserve">	0826218567</t>
  </si>
  <si>
    <t>245738010710068</t>
  </si>
  <si>
    <t>Bùi Nguyên Vũ</t>
  </si>
  <si>
    <t>042204000792</t>
  </si>
  <si>
    <t>0947067812</t>
  </si>
  <si>
    <t>107882791101</t>
  </si>
  <si>
    <t>245738010710034</t>
  </si>
  <si>
    <t>Lô Thị Thoa</t>
  </si>
  <si>
    <t>040306019149</t>
  </si>
  <si>
    <t>0329511324</t>
  </si>
  <si>
    <t>108882791043</t>
  </si>
  <si>
    <t>255738010710050</t>
  </si>
  <si>
    <t>Trần Phương Thảo</t>
  </si>
  <si>
    <t>042307008799</t>
  </si>
  <si>
    <t>0828822107</t>
  </si>
  <si>
    <t>8806218864</t>
  </si>
  <si>
    <t>255738010710095</t>
  </si>
  <si>
    <t>Lô Thị Bảo Trúc</t>
  </si>
  <si>
    <t>040307019930</t>
  </si>
  <si>
    <t>0389365381</t>
  </si>
  <si>
    <t>107878823876</t>
  </si>
  <si>
    <t>225731020510001</t>
  </si>
  <si>
    <t>Moong Tuấn Anh</t>
  </si>
  <si>
    <t>Quản lý nhà nước</t>
  </si>
  <si>
    <t>040203001153</t>
  </si>
  <si>
    <t>0945049157</t>
  </si>
  <si>
    <t>51010007028064</t>
  </si>
  <si>
    <t>225731020510003</t>
  </si>
  <si>
    <t>Xồng Bá Lầu</t>
  </si>
  <si>
    <t>040204013745</t>
  </si>
  <si>
    <t>0835640238</t>
  </si>
  <si>
    <t>51010007028082</t>
  </si>
  <si>
    <t>225731020510002</t>
  </si>
  <si>
    <t>Cụt Văn Minh</t>
  </si>
  <si>
    <t>040204020097</t>
  </si>
  <si>
    <t>0339054389</t>
  </si>
  <si>
    <t>51010007028091</t>
  </si>
  <si>
    <t>225731020510006</t>
  </si>
  <si>
    <t>La Thị Điệp</t>
  </si>
  <si>
    <t>040304006861</t>
  </si>
  <si>
    <t>0396210522</t>
  </si>
  <si>
    <t>51010007028073</t>
  </si>
  <si>
    <t>235731020510015</t>
  </si>
  <si>
    <t>Lương Việt Lâm</t>
  </si>
  <si>
    <t>040204001555</t>
  </si>
  <si>
    <t>0386604656</t>
  </si>
  <si>
    <t>100880172951</t>
  </si>
  <si>
    <t>235731020510002</t>
  </si>
  <si>
    <t>Lô Mạnh Quyền</t>
  </si>
  <si>
    <t>040205015686</t>
  </si>
  <si>
    <t>0362923705</t>
  </si>
  <si>
    <t>235731020510017</t>
  </si>
  <si>
    <t>Hờ Y Sềnh</t>
  </si>
  <si>
    <t>040305027038</t>
  </si>
  <si>
    <t>0387722743</t>
  </si>
  <si>
    <t>103880091177</t>
  </si>
  <si>
    <t>235731020510005</t>
  </si>
  <si>
    <t>Hà Thành Trung</t>
  </si>
  <si>
    <t>040205026516</t>
  </si>
  <si>
    <t>0393888208</t>
  </si>
  <si>
    <t>245731020510030</t>
  </si>
  <si>
    <t>Lô Trưởng Vi</t>
  </si>
  <si>
    <t>040206011253</t>
  </si>
  <si>
    <t>0816719044</t>
  </si>
  <si>
    <t>245731020510021</t>
  </si>
  <si>
    <t>Sỳ Khù Phạ</t>
  </si>
  <si>
    <t>Hà Nhì</t>
  </si>
  <si>
    <t>012205007982</t>
  </si>
  <si>
    <t>0328752183</t>
  </si>
  <si>
    <t>19072083133017</t>
  </si>
  <si>
    <t>245731020510004</t>
  </si>
  <si>
    <t>Sầm Minh Trí</t>
  </si>
  <si>
    <t>040206010901</t>
  </si>
  <si>
    <t>0342857606</t>
  </si>
  <si>
    <t>245731020510002</t>
  </si>
  <si>
    <t>Mùa Mạnh Hùng</t>
  </si>
  <si>
    <t>040206012661</t>
  </si>
  <si>
    <t>0869688730</t>
  </si>
  <si>
    <t>245731020510020</t>
  </si>
  <si>
    <t>Lương Quang Đạt</t>
  </si>
  <si>
    <t>040206001072</t>
  </si>
  <si>
    <t>0373494237</t>
  </si>
  <si>
    <t>245731020510017</t>
  </si>
  <si>
    <t>VI VĂN UÝ</t>
  </si>
  <si>
    <t>040206023115</t>
  </si>
  <si>
    <t>0372676554</t>
  </si>
  <si>
    <t>1054516708</t>
  </si>
  <si>
    <t>255731020510006</t>
  </si>
  <si>
    <t>Mông Thị Thanh Lam</t>
  </si>
  <si>
    <t>Nùng</t>
  </si>
  <si>
    <t>070307008706</t>
  </si>
  <si>
    <t>0985017684</t>
  </si>
  <si>
    <t>255731020510016</t>
  </si>
  <si>
    <t>Lương Mạnh Đình</t>
  </si>
  <si>
    <t>040207000772</t>
  </si>
  <si>
    <t>0858459552</t>
  </si>
  <si>
    <t>255731020510020</t>
  </si>
  <si>
    <t>Lào Thị Hoài Nhi</t>
  </si>
  <si>
    <t>040307021138</t>
  </si>
  <si>
    <t>0357301160</t>
  </si>
  <si>
    <t>5130958000</t>
  </si>
  <si>
    <t>255731020510007</t>
  </si>
  <si>
    <t>Bàn Phúc Hội</t>
  </si>
  <si>
    <t>020207007559</t>
  </si>
  <si>
    <t>0325554044</t>
  </si>
  <si>
    <t>8835287872</t>
  </si>
  <si>
    <t>255731020510035</t>
  </si>
  <si>
    <t>Lò Thị Ánh Hà</t>
  </si>
  <si>
    <t>038307031350</t>
  </si>
  <si>
    <t>0869261232</t>
  </si>
  <si>
    <t>245722904210004</t>
  </si>
  <si>
    <t>Lô Văn Sáo</t>
  </si>
  <si>
    <t>Quản lý văn hóa</t>
  </si>
  <si>
    <t>040206024518</t>
  </si>
  <si>
    <t>0582574036</t>
  </si>
  <si>
    <t>106882790825</t>
  </si>
  <si>
    <t>245722904210012</t>
  </si>
  <si>
    <t>Lầu Vừ Phếnh</t>
  </si>
  <si>
    <t>040206013368</t>
  </si>
  <si>
    <t>0384228421</t>
  </si>
  <si>
    <t>107882790824</t>
  </si>
  <si>
    <t>255722904210013</t>
  </si>
  <si>
    <t>Trương Chí Trung</t>
  </si>
  <si>
    <t>040207011938</t>
  </si>
  <si>
    <t>0326793543</t>
  </si>
  <si>
    <t>255722904210012</t>
  </si>
  <si>
    <t>Mạc Thị Thùy Linh</t>
  </si>
  <si>
    <t>040307013153</t>
  </si>
  <si>
    <t>0328047348</t>
  </si>
  <si>
    <t>01301079999</t>
  </si>
  <si>
    <t>255722904210003</t>
  </si>
  <si>
    <t>Lô Thị Mỹ Quyên</t>
  </si>
  <si>
    <t>040307027409</t>
  </si>
  <si>
    <t>0382803651</t>
  </si>
  <si>
    <t>8871147634</t>
  </si>
  <si>
    <t>255722904210019</t>
  </si>
  <si>
    <t>Trần Thị Thương</t>
  </si>
  <si>
    <t>040307012746</t>
  </si>
  <si>
    <t>0838690678</t>
  </si>
  <si>
    <t>255722904210030</t>
  </si>
  <si>
    <t>Lo Thị Tuyết Trinh</t>
  </si>
  <si>
    <t>040307011876</t>
  </si>
  <si>
    <t>0356431375</t>
  </si>
  <si>
    <t>235731063010024</t>
  </si>
  <si>
    <t>Vũ Thị Hằng Nga</t>
  </si>
  <si>
    <t>Việt Nam học</t>
  </si>
  <si>
    <t>Con người HĐCM bị  nhiễm CĐHH</t>
  </si>
  <si>
    <t>036305010762</t>
  </si>
  <si>
    <t>0338066326</t>
  </si>
  <si>
    <t>235731063010049</t>
  </si>
  <si>
    <t>Đặng Thị Hà</t>
  </si>
  <si>
    <t>042305009926</t>
  </si>
  <si>
    <t>0941728293</t>
  </si>
  <si>
    <t>107880172966</t>
  </si>
  <si>
    <t>235731063010050</t>
  </si>
  <si>
    <t>Lộc Huyền Dịu</t>
  </si>
  <si>
    <t>040305025232</t>
  </si>
  <si>
    <t>0886283973</t>
  </si>
  <si>
    <t>106880172967</t>
  </si>
  <si>
    <t>235731063010038</t>
  </si>
  <si>
    <t>Vi Thị Vân Anh</t>
  </si>
  <si>
    <t>038305029948</t>
  </si>
  <si>
    <t>0971602272</t>
  </si>
  <si>
    <t>235731063010008</t>
  </si>
  <si>
    <t>Lô Thị Hồng Chiên</t>
  </si>
  <si>
    <t>040305002137</t>
  </si>
  <si>
    <t>0987458732</t>
  </si>
  <si>
    <t>102879835197</t>
  </si>
  <si>
    <t>255731063010069</t>
  </si>
  <si>
    <t>Bùi Thị Mừng</t>
  </si>
  <si>
    <t>Mường</t>
  </si>
  <si>
    <t>017307005979</t>
  </si>
  <si>
    <t>0363777597</t>
  </si>
  <si>
    <t>2521438751777</t>
  </si>
  <si>
    <t>225731063010008</t>
  </si>
  <si>
    <t>Nguyễn Hữu Thông</t>
  </si>
  <si>
    <t>Việt Nam học (chuyên ngành Du lịch)</t>
  </si>
  <si>
    <t>040204013077</t>
  </si>
  <si>
    <t>0868448462</t>
  </si>
  <si>
    <t>51010007027849</t>
  </si>
  <si>
    <t>245751030210017</t>
  </si>
  <si>
    <t>Lữ Thanh Dũng</t>
  </si>
  <si>
    <t>65K1</t>
  </si>
  <si>
    <t>Công nghệ kỹ thuật điện tử - viễn thông</t>
  </si>
  <si>
    <t>Viện KT&amp;CN</t>
  </si>
  <si>
    <t>225751030110066</t>
  </si>
  <si>
    <t>Hoàng Bảo Quốc</t>
  </si>
  <si>
    <t>63K2</t>
  </si>
  <si>
    <t>Công nghệ kỹ thuật điện, điện tử</t>
  </si>
  <si>
    <t>042204001997</t>
  </si>
  <si>
    <t>0343193157</t>
  </si>
  <si>
    <t>102877348976</t>
  </si>
  <si>
    <t>225751030110024</t>
  </si>
  <si>
    <t>Nguyễn Đức Ứng</t>
  </si>
  <si>
    <t>040204020155</t>
  </si>
  <si>
    <t>0338072081</t>
  </si>
  <si>
    <t>103877348950</t>
  </si>
  <si>
    <t>225751030110026</t>
  </si>
  <si>
    <t>Lô Trung Kiên</t>
  </si>
  <si>
    <t>040204026961</t>
  </si>
  <si>
    <t>0326437793</t>
  </si>
  <si>
    <t>8872897782</t>
  </si>
  <si>
    <t>255751030310072</t>
  </si>
  <si>
    <t>VI TRƯỜNG CHINH</t>
  </si>
  <si>
    <t>K1</t>
  </si>
  <si>
    <t>Công nghệ kỹ thuật điều khiển và tự động hóa</t>
  </si>
  <si>
    <t>040206001138</t>
  </si>
  <si>
    <t>0347271544</t>
  </si>
  <si>
    <t>255751030310032</t>
  </si>
  <si>
    <t>ĐINH CÔNG CHU</t>
  </si>
  <si>
    <t>K2</t>
  </si>
  <si>
    <t>Kinh</t>
  </si>
  <si>
    <t>040207028041</t>
  </si>
  <si>
    <t>0375292581</t>
  </si>
  <si>
    <t>255751030310099</t>
  </si>
  <si>
    <t>Lương Nhật Hoàng</t>
  </si>
  <si>
    <t>040206017676</t>
  </si>
  <si>
    <t>0859084306</t>
  </si>
  <si>
    <t>Bidv</t>
  </si>
  <si>
    <t>255751030310091</t>
  </si>
  <si>
    <t>Trương Nguyên Đạt</t>
  </si>
  <si>
    <t>040206026605</t>
  </si>
  <si>
    <t>0329682242</t>
  </si>
  <si>
    <t>215751020510164</t>
  </si>
  <si>
    <t>Biện Xuân Trường</t>
  </si>
  <si>
    <t>62K3</t>
  </si>
  <si>
    <t>Công nghệ kỹ thuật ô tô</t>
  </si>
  <si>
    <t>042203000803</t>
  </si>
  <si>
    <t>0367805134</t>
  </si>
  <si>
    <t>103874807114</t>
  </si>
  <si>
    <t>225751020510097</t>
  </si>
  <si>
    <t>Nguyễn Sỹ Nguyên</t>
  </si>
  <si>
    <t>040204007399</t>
  </si>
  <si>
    <t>0399254211</t>
  </si>
  <si>
    <t>104877348755</t>
  </si>
  <si>
    <t>225751020510099</t>
  </si>
  <si>
    <t>Y Minh Kiệt Byă</t>
  </si>
  <si>
    <t>066204017878</t>
  </si>
  <si>
    <t>0838502721</t>
  </si>
  <si>
    <t>102877348757</t>
  </si>
  <si>
    <t>235751020510035</t>
  </si>
  <si>
    <t>Lê Hữu Hà</t>
  </si>
  <si>
    <t>64K2</t>
  </si>
  <si>
    <t>040205002551</t>
  </si>
  <si>
    <t>0375735603</t>
  </si>
  <si>
    <t>235751020510042</t>
  </si>
  <si>
    <t>Hoàng Xuân Qúy</t>
  </si>
  <si>
    <t>040205006276</t>
  </si>
  <si>
    <t>0868816753</t>
  </si>
  <si>
    <t>8850384462</t>
  </si>
  <si>
    <t>235751020510049</t>
  </si>
  <si>
    <t>Lê Văn Toàn</t>
  </si>
  <si>
    <t>Con Liệt Sĩ</t>
  </si>
  <si>
    <t>040205021956</t>
  </si>
  <si>
    <t>0385477892</t>
  </si>
  <si>
    <t>245751020510114</t>
  </si>
  <si>
    <t>Thò Bá Của</t>
  </si>
  <si>
    <t>0944829536</t>
  </si>
  <si>
    <t>245751020510026</t>
  </si>
  <si>
    <t>Lê Ngọc Lợi</t>
  </si>
  <si>
    <t>65K2</t>
  </si>
  <si>
    <t>1031859773</t>
  </si>
  <si>
    <t>255751020510067</t>
  </si>
  <si>
    <t>Nguyễn Đức Anh</t>
  </si>
  <si>
    <t>042207009593</t>
  </si>
  <si>
    <t>0364614586</t>
  </si>
  <si>
    <t>255751020510110</t>
  </si>
  <si>
    <t>Vi Văn Nguyên</t>
  </si>
  <si>
    <t>040207017477</t>
  </si>
  <si>
    <t>0329914902</t>
  </si>
  <si>
    <t>ACB</t>
  </si>
  <si>
    <t>255751020510033</t>
  </si>
  <si>
    <t>LÊ THIÊN BẢO</t>
  </si>
  <si>
    <t>040207023409</t>
  </si>
  <si>
    <t>0396493849</t>
  </si>
  <si>
    <t>255751020510125</t>
  </si>
  <si>
    <t>Xeo Văn Dũng</t>
  </si>
  <si>
    <t>040206007794</t>
  </si>
  <si>
    <t>0358129440</t>
  </si>
  <si>
    <t>215748020110165</t>
  </si>
  <si>
    <t>Cao Minh Quân</t>
  </si>
  <si>
    <t>62K1</t>
  </si>
  <si>
    <t>Công nghệ thông tin</t>
  </si>
  <si>
    <t>188042764</t>
  </si>
  <si>
    <t>0961089613</t>
  </si>
  <si>
    <t>106875591156</t>
  </si>
  <si>
    <t>215748020110250</t>
  </si>
  <si>
    <t>Phan Công Mạnh</t>
  </si>
  <si>
    <t>62K4</t>
  </si>
  <si>
    <t>096346437</t>
  </si>
  <si>
    <t>109875593163</t>
  </si>
  <si>
    <t>215748020110479</t>
  </si>
  <si>
    <t>Đặng Anh Quân</t>
  </si>
  <si>
    <t>187969117</t>
  </si>
  <si>
    <t>0327867953</t>
  </si>
  <si>
    <t>107874807107</t>
  </si>
  <si>
    <t>215748020110013</t>
  </si>
  <si>
    <t>Nguyễn Ngọc Anh Tuấn</t>
  </si>
  <si>
    <t>0975785395</t>
  </si>
  <si>
    <t>102875780317</t>
  </si>
  <si>
    <t>215748020110063</t>
  </si>
  <si>
    <t>Nguyễn Thị Hồng</t>
  </si>
  <si>
    <t>0382621342</t>
  </si>
  <si>
    <t>101873265274</t>
  </si>
  <si>
    <t>215748020110233</t>
  </si>
  <si>
    <t>Phan Văn Bảo Khanh</t>
  </si>
  <si>
    <t>0397579771</t>
  </si>
  <si>
    <t>106874807108</t>
  </si>
  <si>
    <t>215748020110238</t>
  </si>
  <si>
    <t>Hồ Quyết Thắng</t>
  </si>
  <si>
    <t>187882244</t>
  </si>
  <si>
    <t>0396510005</t>
  </si>
  <si>
    <t>105875591169</t>
  </si>
  <si>
    <t>215748020110388</t>
  </si>
  <si>
    <t>Lô Văn Hòa</t>
  </si>
  <si>
    <t>62K7</t>
  </si>
  <si>
    <t>040203002942</t>
  </si>
  <si>
    <t>0976617586</t>
  </si>
  <si>
    <t>104875593308</t>
  </si>
  <si>
    <t>215748020110367</t>
  </si>
  <si>
    <t>Hoàng Văn Minh</t>
  </si>
  <si>
    <t>62K6</t>
  </si>
  <si>
    <t>040203021199</t>
  </si>
  <si>
    <t>0799019277</t>
  </si>
  <si>
    <t>215748020110035</t>
  </si>
  <si>
    <t>Nguyễn Tùng Quân</t>
  </si>
  <si>
    <t>040203023614</t>
  </si>
  <si>
    <t>0383230532</t>
  </si>
  <si>
    <t>104880714636</t>
  </si>
  <si>
    <t>225748020110012</t>
  </si>
  <si>
    <t>Hoàng Tiến Đạt</t>
  </si>
  <si>
    <t>63K1</t>
  </si>
  <si>
    <t>04020405648</t>
  </si>
  <si>
    <t>0368240078</t>
  </si>
  <si>
    <t>109876822289</t>
  </si>
  <si>
    <t>225748020110062</t>
  </si>
  <si>
    <t>Nguyễn Phan Duy Hưng</t>
  </si>
  <si>
    <t>040204001134</t>
  </si>
  <si>
    <t>0842266969</t>
  </si>
  <si>
    <t>105877362958</t>
  </si>
  <si>
    <t>225748020110125</t>
  </si>
  <si>
    <t>Hồ Quang Việt</t>
  </si>
  <si>
    <t>040204002040</t>
  </si>
  <si>
    <t>0382216294</t>
  </si>
  <si>
    <t>102877439147</t>
  </si>
  <si>
    <t>225748020110071</t>
  </si>
  <si>
    <t>Lương Thành Đạo</t>
  </si>
  <si>
    <t>040204008951</t>
  </si>
  <si>
    <t>0383263337</t>
  </si>
  <si>
    <t>104877439099</t>
  </si>
  <si>
    <t>225748020110129</t>
  </si>
  <si>
    <t>Lê Đức Ánh</t>
  </si>
  <si>
    <t>63K3</t>
  </si>
  <si>
    <t>040203023043</t>
  </si>
  <si>
    <t>0337932510</t>
  </si>
  <si>
    <t>103877439528</t>
  </si>
  <si>
    <t>225748020110221</t>
  </si>
  <si>
    <t>Đào Mạnh Đạt</t>
  </si>
  <si>
    <t>63K4</t>
  </si>
  <si>
    <t>040204002256</t>
  </si>
  <si>
    <t>0981686704</t>
  </si>
  <si>
    <t>108877377314</t>
  </si>
  <si>
    <t>225748020110246</t>
  </si>
  <si>
    <t>Trần Thế Anh Đức</t>
  </si>
  <si>
    <t>042204000436</t>
  </si>
  <si>
    <t>0862216731</t>
  </si>
  <si>
    <t>109875468617</t>
  </si>
  <si>
    <t>225748020110228</t>
  </si>
  <si>
    <t>Hà Văn Hiệp</t>
  </si>
  <si>
    <t>040204016111</t>
  </si>
  <si>
    <t>0943853126</t>
  </si>
  <si>
    <t>103877377319</t>
  </si>
  <si>
    <t>225748020110317</t>
  </si>
  <si>
    <t>Vy Mạnh Hùng</t>
  </si>
  <si>
    <t>63K6</t>
  </si>
  <si>
    <t>040203006330</t>
  </si>
  <si>
    <t>0336274641</t>
  </si>
  <si>
    <t>104877385784</t>
  </si>
  <si>
    <t>225748020110026</t>
  </si>
  <si>
    <t>Lang Văn Nguyên</t>
  </si>
  <si>
    <t>040204027148</t>
  </si>
  <si>
    <t>0363791901</t>
  </si>
  <si>
    <t>108877362928</t>
  </si>
  <si>
    <t>235748020110060</t>
  </si>
  <si>
    <t>Phan Bảo Thạch</t>
  </si>
  <si>
    <t>64K1</t>
  </si>
  <si>
    <t>040205027736</t>
  </si>
  <si>
    <t>0852822327</t>
  </si>
  <si>
    <t>8830266290</t>
  </si>
  <si>
    <t>235748020110098</t>
  </si>
  <si>
    <t>Phạm Trung Kiên</t>
  </si>
  <si>
    <t>042205012513</t>
  </si>
  <si>
    <t>0966426213</t>
  </si>
  <si>
    <t>8800288105</t>
  </si>
  <si>
    <t>235748020110149</t>
  </si>
  <si>
    <t>Vang Đình Lăng</t>
  </si>
  <si>
    <t>64K3</t>
  </si>
  <si>
    <t>040205024238</t>
  </si>
  <si>
    <t>09419148125</t>
  </si>
  <si>
    <t>8860266328</t>
  </si>
  <si>
    <t>235748020110139</t>
  </si>
  <si>
    <t>Phan Thế Anh</t>
  </si>
  <si>
    <t>040204017159</t>
  </si>
  <si>
    <t>0346043203</t>
  </si>
  <si>
    <t>5181012481</t>
  </si>
  <si>
    <t>235748020110071</t>
  </si>
  <si>
    <t>Trần Văn Thắng</t>
  </si>
  <si>
    <t>040205004966</t>
  </si>
  <si>
    <t>0374967610</t>
  </si>
  <si>
    <t>8820288094</t>
  </si>
  <si>
    <t>235748020110210</t>
  </si>
  <si>
    <t>Trần Mạnh Linh</t>
  </si>
  <si>
    <t>64K4</t>
  </si>
  <si>
    <t>0402204003359</t>
  </si>
  <si>
    <t>0868066018</t>
  </si>
  <si>
    <t>8830288148</t>
  </si>
  <si>
    <t>235748020110202</t>
  </si>
  <si>
    <t>Chu Trí Tài</t>
  </si>
  <si>
    <t>040205015451</t>
  </si>
  <si>
    <t>0343196864</t>
  </si>
  <si>
    <t>8880266356</t>
  </si>
  <si>
    <t>235748020110300</t>
  </si>
  <si>
    <t>Hồ Sỹ An</t>
  </si>
  <si>
    <t>64K5</t>
  </si>
  <si>
    <t>040205002532</t>
  </si>
  <si>
    <t>0325663039</t>
  </si>
  <si>
    <t>8810266413</t>
  </si>
  <si>
    <t>235748020110293</t>
  </si>
  <si>
    <t>040204011710</t>
  </si>
  <si>
    <t>0366513910</t>
  </si>
  <si>
    <t>8820288179</t>
  </si>
  <si>
    <t>245748020110066</t>
  </si>
  <si>
    <t>Trần Anh Đức</t>
  </si>
  <si>
    <t>040205019736</t>
  </si>
  <si>
    <t>0916424037</t>
  </si>
  <si>
    <t>245748020110016</t>
  </si>
  <si>
    <t>Vi Thị Nương</t>
  </si>
  <si>
    <t>040303025526</t>
  </si>
  <si>
    <t>0865158798</t>
  </si>
  <si>
    <t>000005916592</t>
  </si>
  <si>
    <t>Seabank</t>
  </si>
  <si>
    <t>245748020110024</t>
  </si>
  <si>
    <t>Hà Định An</t>
  </si>
  <si>
    <t>040205019136</t>
  </si>
  <si>
    <t>0311902226</t>
  </si>
  <si>
    <t>0948286327</t>
  </si>
  <si>
    <t>245748020110081</t>
  </si>
  <si>
    <t>Kha Vi Hạ</t>
  </si>
  <si>
    <t>040206020158</t>
  </si>
  <si>
    <t>0814563731</t>
  </si>
  <si>
    <t>245748020110189</t>
  </si>
  <si>
    <t>Lương Trí Tưởng</t>
  </si>
  <si>
    <t>65K3</t>
  </si>
  <si>
    <t>040205025013</t>
  </si>
  <si>
    <t>0915753619</t>
  </si>
  <si>
    <t>0372782297</t>
  </si>
  <si>
    <t>245748020110285</t>
  </si>
  <si>
    <t>Nguyễn Thị Ngọc Ánh</t>
  </si>
  <si>
    <t>65K4</t>
  </si>
  <si>
    <t>040306002373</t>
  </si>
  <si>
    <t>0384078119</t>
  </si>
  <si>
    <t>1037238164</t>
  </si>
  <si>
    <t>245748020110233</t>
  </si>
  <si>
    <t>Võ Quang Hoàn</t>
  </si>
  <si>
    <t>042206005971</t>
  </si>
  <si>
    <t>0388782259</t>
  </si>
  <si>
    <t>1209090990</t>
  </si>
  <si>
    <t>245748020110273</t>
  </si>
  <si>
    <t>Hà Ngọc Đức</t>
  </si>
  <si>
    <t>040306027217</t>
  </si>
  <si>
    <t>0348108306</t>
  </si>
  <si>
    <t>8873019370</t>
  </si>
  <si>
    <t>245748020110170</t>
  </si>
  <si>
    <t>Ngô Thị Thùy Linh</t>
  </si>
  <si>
    <t>042304000333</t>
  </si>
  <si>
    <t>0386263166</t>
  </si>
  <si>
    <t>255748020110133</t>
  </si>
  <si>
    <t>Vi Quốc Linh</t>
  </si>
  <si>
    <t>66K2</t>
  </si>
  <si>
    <t>040207001226</t>
  </si>
  <si>
    <t>0332336207</t>
  </si>
  <si>
    <t>8851521063</t>
  </si>
  <si>
    <t>255748020110142</t>
  </si>
  <si>
    <t>Quang Lê Duẩn</t>
  </si>
  <si>
    <t>040206013776</t>
  </si>
  <si>
    <t>0813414065</t>
  </si>
  <si>
    <t>8853806006</t>
  </si>
  <si>
    <t>255748020110126</t>
  </si>
  <si>
    <t>Kha Văn Thương</t>
  </si>
  <si>
    <t>040206013199</t>
  </si>
  <si>
    <t>0393441267</t>
  </si>
  <si>
    <t>8873806044</t>
  </si>
  <si>
    <t>255748020110243</t>
  </si>
  <si>
    <t>Lô Vũ Phong</t>
  </si>
  <si>
    <t>66K3</t>
  </si>
  <si>
    <t>Công nghệ thông tin (Chuyên ngành Trí tuệ nhân tạo)</t>
  </si>
  <si>
    <t>040207037827</t>
  </si>
  <si>
    <t>0975472658</t>
  </si>
  <si>
    <t>1058745658</t>
  </si>
  <si>
    <t>255748020110273</t>
  </si>
  <si>
    <t>Quang Duy Thái</t>
  </si>
  <si>
    <t>66K</t>
  </si>
  <si>
    <t>040207016231</t>
  </si>
  <si>
    <t>0339695734</t>
  </si>
  <si>
    <t>8100820079999</t>
  </si>
  <si>
    <t>215748020110496</t>
  </si>
  <si>
    <t>Trương Trung Dũng</t>
  </si>
  <si>
    <t>62K</t>
  </si>
  <si>
    <t>Công nghệ thông tin CLC</t>
  </si>
  <si>
    <t>187844943</t>
  </si>
  <si>
    <t>0898649747</t>
  </si>
  <si>
    <t>102869107844</t>
  </si>
  <si>
    <t>225748020110028</t>
  </si>
  <si>
    <t>Trần Đức Nhân</t>
  </si>
  <si>
    <t>63K</t>
  </si>
  <si>
    <t>184457121</t>
  </si>
  <si>
    <t>0965583236</t>
  </si>
  <si>
    <t>108877385701</t>
  </si>
  <si>
    <t>225748020110098</t>
  </si>
  <si>
    <t>Lê Xuân Hùng</t>
  </si>
  <si>
    <t>0402204004244</t>
  </si>
  <si>
    <t>0355707763</t>
  </si>
  <si>
    <t>102877385710</t>
  </si>
  <si>
    <t>225748020110227</t>
  </si>
  <si>
    <t>Trần Lê Tuấn Anh</t>
  </si>
  <si>
    <t>040204000556</t>
  </si>
  <si>
    <t>0862420204</t>
  </si>
  <si>
    <t>103877385721</t>
  </si>
  <si>
    <t>235748020110167</t>
  </si>
  <si>
    <t>Đậu Xuân Duẫn</t>
  </si>
  <si>
    <t>64K</t>
  </si>
  <si>
    <t>042205011861</t>
  </si>
  <si>
    <t>0347238507</t>
  </si>
  <si>
    <t>8880293914</t>
  </si>
  <si>
    <t>235748020110117</t>
  </si>
  <si>
    <t>Lê Thanh Nga</t>
  </si>
  <si>
    <t>040205025165</t>
  </si>
  <si>
    <t>0962036742</t>
  </si>
  <si>
    <t>8800288202</t>
  </si>
  <si>
    <t>215752020710015</t>
  </si>
  <si>
    <t>Nguyễn Trọng Tâm</t>
  </si>
  <si>
    <t>Kỹ thuật điện tử - viễn thông</t>
  </si>
  <si>
    <t>40203014249</t>
  </si>
  <si>
    <t>0934256417</t>
  </si>
  <si>
    <t>109874807120</t>
  </si>
  <si>
    <t>215752020710028</t>
  </si>
  <si>
    <t>Nguyễn Ngọc Bảo</t>
  </si>
  <si>
    <t>0945012623</t>
  </si>
  <si>
    <t>101874836101</t>
  </si>
  <si>
    <t>225752020710029</t>
  </si>
  <si>
    <t>Đặng Văn Thành Đạt</t>
  </si>
  <si>
    <t>22204002800</t>
  </si>
  <si>
    <t>0388451321</t>
  </si>
  <si>
    <t>5107031257</t>
  </si>
  <si>
    <t>225752020710033</t>
  </si>
  <si>
    <t>Phan Trung Hiếu</t>
  </si>
  <si>
    <t>044203004073</t>
  </si>
  <si>
    <t>0705418208</t>
  </si>
  <si>
    <t>235752020710012</t>
  </si>
  <si>
    <t>Nguyễn Nhân Khang</t>
  </si>
  <si>
    <t>040205021660</t>
  </si>
  <si>
    <t>0921585316</t>
  </si>
  <si>
    <t>8860445263</t>
  </si>
  <si>
    <t>235752020710003</t>
  </si>
  <si>
    <t>Kim Tê Chinh</t>
  </si>
  <si>
    <t>040205020433</t>
  </si>
  <si>
    <t>0328046977</t>
  </si>
  <si>
    <t>8870445253</t>
  </si>
  <si>
    <t>255752020710029</t>
  </si>
  <si>
    <t>Lê Hải Nguyên</t>
  </si>
  <si>
    <t>042207009491</t>
  </si>
  <si>
    <t>0356038528</t>
  </si>
  <si>
    <t>225752021610039</t>
  </si>
  <si>
    <t>Vi Văn Tùng</t>
  </si>
  <si>
    <t>Kỹ thuật điều khiển và tự động hoá</t>
  </si>
  <si>
    <t>0364357038</t>
  </si>
  <si>
    <t>100877348883</t>
  </si>
  <si>
    <t>225752021610099</t>
  </si>
  <si>
    <t>Nguyễn Đình Duy</t>
  </si>
  <si>
    <t>040204001803</t>
  </si>
  <si>
    <t>0961319853</t>
  </si>
  <si>
    <t>225752021610054</t>
  </si>
  <si>
    <t>Nguyễn Văn Hiếu</t>
  </si>
  <si>
    <t>040204006512</t>
  </si>
  <si>
    <t>0813269853</t>
  </si>
  <si>
    <t>09012045678910</t>
  </si>
  <si>
    <t>225752021610090</t>
  </si>
  <si>
    <t>Kha Đức Mạnh</t>
  </si>
  <si>
    <t>040204009093</t>
  </si>
  <si>
    <t>0377926498</t>
  </si>
  <si>
    <t>102877348909</t>
  </si>
  <si>
    <t>225752021610076</t>
  </si>
  <si>
    <t>Lô Đức Thọ</t>
  </si>
  <si>
    <t>188050766</t>
  </si>
  <si>
    <t>0377807424</t>
  </si>
  <si>
    <t>105877349192</t>
  </si>
  <si>
    <t>225752021610097</t>
  </si>
  <si>
    <t>Nguyễn Đình Thọ</t>
  </si>
  <si>
    <t>100877348914</t>
  </si>
  <si>
    <t>225752021610010</t>
  </si>
  <si>
    <t>Nguyễn Đức Đông</t>
  </si>
  <si>
    <t>040204016953</t>
  </si>
  <si>
    <t>0971487102</t>
  </si>
  <si>
    <t>225752021610012</t>
  </si>
  <si>
    <t>Lô Châu Tú</t>
  </si>
  <si>
    <t>040204009470</t>
  </si>
  <si>
    <t>068948846</t>
  </si>
  <si>
    <t>0868948846</t>
  </si>
  <si>
    <t>235752021610056</t>
  </si>
  <si>
    <t>Trần Văn Tú</t>
  </si>
  <si>
    <t>042204000574</t>
  </si>
  <si>
    <t>0364602028</t>
  </si>
  <si>
    <t>8820384653</t>
  </si>
  <si>
    <t>245752021610015</t>
  </si>
  <si>
    <t>Trần Tiến Đạt</t>
  </si>
  <si>
    <t>00000414266</t>
  </si>
  <si>
    <t>TP Bank</t>
  </si>
  <si>
    <t>245752021610090</t>
  </si>
  <si>
    <t>Vi Tiến Tùng</t>
  </si>
  <si>
    <t>040206027817</t>
  </si>
  <si>
    <t>0867105006</t>
  </si>
  <si>
    <t>3612205460230</t>
  </si>
  <si>
    <t>245752021610060</t>
  </si>
  <si>
    <t>Nguyễn Hoàng Huy</t>
  </si>
  <si>
    <t>255752021610025</t>
  </si>
  <si>
    <t>NGUYỄN KHÁNH THÀNH</t>
  </si>
  <si>
    <t>040207019276</t>
  </si>
  <si>
    <t>0366024237</t>
  </si>
  <si>
    <t>215748010310012</t>
  </si>
  <si>
    <t>Trần Văn Hoàng</t>
  </si>
  <si>
    <t xml:space="preserve">62K </t>
  </si>
  <si>
    <t>Kỹ thuật phần mềm</t>
  </si>
  <si>
    <t>187978772</t>
  </si>
  <si>
    <t>0867752637</t>
  </si>
  <si>
    <t>109875724087</t>
  </si>
  <si>
    <t>215748010310006</t>
  </si>
  <si>
    <t>042203011205</t>
  </si>
  <si>
    <t>0397941915</t>
  </si>
  <si>
    <t>105874807109</t>
  </si>
  <si>
    <t>225748010110031</t>
  </si>
  <si>
    <t>Vi Thanh Thượng</t>
  </si>
  <si>
    <t>Khoa học máy tính</t>
  </si>
  <si>
    <t>040204001719</t>
  </si>
  <si>
    <t>0963854349</t>
  </si>
  <si>
    <t>105877394122</t>
  </si>
  <si>
    <t>225748010110028</t>
  </si>
  <si>
    <t>Đinh Xuân Phúc</t>
  </si>
  <si>
    <t>040203002865</t>
  </si>
  <si>
    <t>0925963770</t>
  </si>
  <si>
    <t>104874724620</t>
  </si>
  <si>
    <t>235748010110016</t>
  </si>
  <si>
    <t>Trần Đức Tâm</t>
  </si>
  <si>
    <t>040205019537</t>
  </si>
  <si>
    <t>0389877647</t>
  </si>
  <si>
    <t>8810293887</t>
  </si>
  <si>
    <t>235748010110024</t>
  </si>
  <si>
    <t>La Trung Tuyến</t>
  </si>
  <si>
    <t>040200004329</t>
  </si>
  <si>
    <t>0384940046</t>
  </si>
  <si>
    <t>8830293894</t>
  </si>
  <si>
    <t>235748010110013</t>
  </si>
  <si>
    <t>Cao Minh Gia Minh</t>
  </si>
  <si>
    <t>040205026950</t>
  </si>
  <si>
    <t>0357131005</t>
  </si>
  <si>
    <t>5130034089</t>
  </si>
  <si>
    <t>255748010110008</t>
  </si>
  <si>
    <t>Lê Thành Công</t>
  </si>
  <si>
    <t>040207000341</t>
  </si>
  <si>
    <t>09422826499</t>
  </si>
  <si>
    <t>3942826499</t>
  </si>
  <si>
    <t>255748010110019</t>
  </si>
  <si>
    <t>Vi Quang Vinh</t>
  </si>
  <si>
    <t>040207021566</t>
  </si>
  <si>
    <t>'0355443107</t>
  </si>
  <si>
    <t>8854337428</t>
  </si>
  <si>
    <t>255762010510005</t>
  </si>
  <si>
    <t>Lê Trọng Phú</t>
  </si>
  <si>
    <t>Chăn nuôi</t>
  </si>
  <si>
    <t xml:space="preserve">Viện NN&amp;TN </t>
  </si>
  <si>
    <t>040204017847</t>
  </si>
  <si>
    <t>0879183659</t>
  </si>
  <si>
    <t>47762727012004</t>
  </si>
  <si>
    <t>225762010510024</t>
  </si>
  <si>
    <t>Ngân Trung Kiên</t>
  </si>
  <si>
    <t>Chăn nuôi (chuyên ngành thú y)</t>
  </si>
  <si>
    <t>04020416520</t>
  </si>
  <si>
    <t>0822289918</t>
  </si>
  <si>
    <t>109877412659</t>
  </si>
  <si>
    <t>245762011010004</t>
  </si>
  <si>
    <t>Lương Văn Cường</t>
  </si>
  <si>
    <t>65K</t>
  </si>
  <si>
    <t>Khoa học cây trồng</t>
  </si>
  <si>
    <t>040206025257</t>
  </si>
  <si>
    <t>0899594845</t>
  </si>
  <si>
    <t>108882867553</t>
  </si>
  <si>
    <t>255762011010001</t>
  </si>
  <si>
    <t>Nguyễn Văn Nhân</t>
  </si>
  <si>
    <t>7620110</t>
  </si>
  <si>
    <t>040206027008</t>
  </si>
  <si>
    <t>0866655006</t>
  </si>
  <si>
    <t>3603205708842</t>
  </si>
  <si>
    <t>215762010910006</t>
  </si>
  <si>
    <t>Lữ Văn Mạnh</t>
  </si>
  <si>
    <t>Nông học</t>
  </si>
  <si>
    <t>040203022928</t>
  </si>
  <si>
    <t>0365970712</t>
  </si>
  <si>
    <t>100874807129</t>
  </si>
  <si>
    <t>225762010910001</t>
  </si>
  <si>
    <t>Hờ Y Dua</t>
  </si>
  <si>
    <t>040304017879</t>
  </si>
  <si>
    <t>0945531843</t>
  </si>
  <si>
    <t>101877445172</t>
  </si>
  <si>
    <t>225762010910009</t>
  </si>
  <si>
    <t>Lô Thị Hồng Trang</t>
  </si>
  <si>
    <t>040301012672</t>
  </si>
  <si>
    <t>0387382194</t>
  </si>
  <si>
    <t>100872525097</t>
  </si>
  <si>
    <t>225762030110008</t>
  </si>
  <si>
    <t>Phạm Bá Hoàng</t>
  </si>
  <si>
    <t>Nuôi trồng thủy sản</t>
  </si>
  <si>
    <t>040204000514</t>
  </si>
  <si>
    <t>0347630032</t>
  </si>
  <si>
    <t>100877413044</t>
  </si>
  <si>
    <t>225762030110014</t>
  </si>
  <si>
    <t>Thái Xuân Lộc</t>
  </si>
  <si>
    <t>0386996443</t>
  </si>
  <si>
    <t>108877413046</t>
  </si>
  <si>
    <t>215785010310010</t>
  </si>
  <si>
    <t>Lô Thị Ngân</t>
  </si>
  <si>
    <t>62K-Quản lý đất đai</t>
  </si>
  <si>
    <t>Quản lý đất đai</t>
  </si>
  <si>
    <t>0867695734</t>
  </si>
  <si>
    <t>245785010310009</t>
  </si>
  <si>
    <t>Xeo Văn Hùng</t>
  </si>
  <si>
    <t>040206020414</t>
  </si>
  <si>
    <t>0348856820</t>
  </si>
  <si>
    <t>255785010310015</t>
  </si>
  <si>
    <t>Lê Tuấn Thành</t>
  </si>
  <si>
    <t>Quản lý đất đai (chuyên ngành Quản lý phát triển đô thị và Bất động sản)</t>
  </si>
  <si>
    <t>040205017951</t>
  </si>
  <si>
    <t>0559323098</t>
  </si>
  <si>
    <t>8840671179</t>
  </si>
  <si>
    <t>215785010110005</t>
  </si>
  <si>
    <t>Lầu Chí Công</t>
  </si>
  <si>
    <t>Quản lý tài nguyên và môi trường</t>
  </si>
  <si>
    <t>0943.227.946</t>
  </si>
  <si>
    <t>108874807133</t>
  </si>
  <si>
    <t>235785010110009</t>
  </si>
  <si>
    <t>Nguyễn Thanh Tài</t>
  </si>
  <si>
    <t>040205027818</t>
  </si>
  <si>
    <t>0325978264</t>
  </si>
  <si>
    <t>100879882837</t>
  </si>
  <si>
    <t>245785010110008</t>
  </si>
  <si>
    <t>Vi Đình Quang</t>
  </si>
  <si>
    <t>040206019108</t>
  </si>
  <si>
    <t>0329709412</t>
  </si>
  <si>
    <t>8851272689</t>
  </si>
  <si>
    <t>255785010110019</t>
  </si>
  <si>
    <t>Lương Thị Như Nguyệt</t>
  </si>
  <si>
    <t>040307022072</t>
  </si>
  <si>
    <t>0344687324</t>
  </si>
  <si>
    <t>3344687324</t>
  </si>
  <si>
    <t>255785010110018</t>
  </si>
  <si>
    <t>Lương Văn Tâm</t>
  </si>
  <si>
    <t>040204020882</t>
  </si>
  <si>
    <t>0338489655</t>
  </si>
  <si>
    <t>0886513067</t>
  </si>
  <si>
    <t>255785010110023</t>
  </si>
  <si>
    <t>Lương Quốc Ái</t>
  </si>
  <si>
    <t>040207021877</t>
  </si>
  <si>
    <t>0856364122</t>
  </si>
  <si>
    <t>245764010110013</t>
  </si>
  <si>
    <t>Trương Minh Thành</t>
  </si>
  <si>
    <t>Thú Y</t>
  </si>
  <si>
    <t>040206004900</t>
  </si>
  <si>
    <t>0829367182</t>
  </si>
  <si>
    <t>245742020110004</t>
  </si>
  <si>
    <t>Lô Thị Việt Linh</t>
  </si>
  <si>
    <t>Công nghệ sinh học</t>
  </si>
  <si>
    <t>Viện CNHSMT</t>
  </si>
  <si>
    <t>102882994271</t>
  </si>
  <si>
    <t>255754010110009</t>
  </si>
  <si>
    <t>Nguyễn Thị Diễm Linh</t>
  </si>
  <si>
    <t>Công nghệ thực phẩm</t>
  </si>
  <si>
    <t>040305012510</t>
  </si>
  <si>
    <t>0854138100</t>
  </si>
  <si>
    <t>8856842098</t>
  </si>
  <si>
    <t>225772030110016</t>
  </si>
  <si>
    <t>Đặng Thị Phương Linh</t>
  </si>
  <si>
    <t>Điều dưỡng</t>
  </si>
  <si>
    <t>040304027167</t>
  </si>
  <si>
    <t>0862483476</t>
  </si>
  <si>
    <t>225772030110074</t>
  </si>
  <si>
    <t>Lương Nữ An Na</t>
  </si>
  <si>
    <t>040303015927</t>
  </si>
  <si>
    <t>0378622094</t>
  </si>
  <si>
    <t>225772030110050</t>
  </si>
  <si>
    <t>Vi Thị Bích Hạnh</t>
  </si>
  <si>
    <t>040304002189</t>
  </si>
  <si>
    <t>0812113190</t>
  </si>
  <si>
    <t>225772030110072</t>
  </si>
  <si>
    <t>Lữ Thị Phương Thảo</t>
  </si>
  <si>
    <t>040304026915</t>
  </si>
  <si>
    <t>0339390981</t>
  </si>
  <si>
    <t>225772030110053</t>
  </si>
  <si>
    <t>Lô Thị Kim</t>
  </si>
  <si>
    <t>040303002923</t>
  </si>
  <si>
    <t>0339390074</t>
  </si>
  <si>
    <t>225772030110059</t>
  </si>
  <si>
    <t>Hoàng Thị Trang Nhung</t>
  </si>
  <si>
    <t>040304020874</t>
  </si>
  <si>
    <t>0392582060</t>
  </si>
  <si>
    <t>235772030110047</t>
  </si>
  <si>
    <t>Lô Thị Vân</t>
  </si>
  <si>
    <t>040305020859</t>
  </si>
  <si>
    <t>0825299263</t>
  </si>
  <si>
    <t>105880048094</t>
  </si>
  <si>
    <t>235772030110085</t>
  </si>
  <si>
    <t>Trần Thị Ngọc Ánh</t>
  </si>
  <si>
    <t>040304021960</t>
  </si>
  <si>
    <t>0931356254</t>
  </si>
  <si>
    <t>101880216482</t>
  </si>
  <si>
    <t>235772030110054</t>
  </si>
  <si>
    <t>Vi Thị Nhật Lệ</t>
  </si>
  <si>
    <t>040305002140</t>
  </si>
  <si>
    <t>0815624887</t>
  </si>
  <si>
    <t>109880048106</t>
  </si>
  <si>
    <t>235772030110011</t>
  </si>
  <si>
    <t>Lầu Y Chư</t>
  </si>
  <si>
    <t>040304016100</t>
  </si>
  <si>
    <t>0375052794</t>
  </si>
  <si>
    <t>103880048096</t>
  </si>
  <si>
    <t>235772030110012</t>
  </si>
  <si>
    <t>Lô Thị Diệp Linh</t>
  </si>
  <si>
    <t>040305008239</t>
  </si>
  <si>
    <t xml:space="preserve">0985890248 </t>
  </si>
  <si>
    <t>101880048098</t>
  </si>
  <si>
    <t>245772030110063</t>
  </si>
  <si>
    <t>Lê Thị Thương</t>
  </si>
  <si>
    <t>104882994254</t>
  </si>
  <si>
    <t>245772030110013</t>
  </si>
  <si>
    <t>Vi Thị Hoài Thương</t>
  </si>
  <si>
    <t>040305027177</t>
  </si>
  <si>
    <t>0328836707</t>
  </si>
  <si>
    <t>108882994208</t>
  </si>
  <si>
    <t>245772030110047</t>
  </si>
  <si>
    <t>Vi Thị Phương Thảo</t>
  </si>
  <si>
    <t>040306010007</t>
  </si>
  <si>
    <t>0865569920</t>
  </si>
  <si>
    <t>3614205278612</t>
  </si>
  <si>
    <t>245772030110041</t>
  </si>
  <si>
    <t>Lương Thị Bích Phấn</t>
  </si>
  <si>
    <t>108882994235</t>
  </si>
  <si>
    <t>245772030110023</t>
  </si>
  <si>
    <t>Lương Thị Như Xuân</t>
  </si>
  <si>
    <t>040306023544</t>
  </si>
  <si>
    <t>0388645015</t>
  </si>
  <si>
    <t>105883001853</t>
  </si>
  <si>
    <t>245772030110044</t>
  </si>
  <si>
    <t>Hà Thị Viện</t>
  </si>
  <si>
    <t>040306011474</t>
  </si>
  <si>
    <t>105882994238</t>
  </si>
  <si>
    <t>245772030110080</t>
  </si>
  <si>
    <t>Vừ Bá Hà</t>
  </si>
  <si>
    <t>Mông</t>
  </si>
  <si>
    <t>0347299453</t>
  </si>
  <si>
    <t>101882994269</t>
  </si>
  <si>
    <t>Vietinbank</t>
  </si>
  <si>
    <t>255772030110001</t>
  </si>
  <si>
    <t>Lô Xuân Thủy</t>
  </si>
  <si>
    <t>040206015525</t>
  </si>
  <si>
    <t>0346857703</t>
  </si>
  <si>
    <t>255772030110095</t>
  </si>
  <si>
    <t>Lữ Thị Quỳnh Dương</t>
  </si>
  <si>
    <t>040307018607</t>
  </si>
  <si>
    <t>0357406743</t>
  </si>
  <si>
    <t>8846842199</t>
  </si>
  <si>
    <t>255772030110054</t>
  </si>
  <si>
    <t>Lô Thị Cầm Tú</t>
  </si>
  <si>
    <t>040307027408</t>
  </si>
  <si>
    <t>0977961319</t>
  </si>
  <si>
    <t>8886842165</t>
  </si>
  <si>
    <t>255772030110046</t>
  </si>
  <si>
    <t>Hoàng Hạnh Nguyên</t>
  </si>
  <si>
    <t>0358964101</t>
  </si>
  <si>
    <t>8866842158</t>
  </si>
  <si>
    <t>255772030110076</t>
  </si>
  <si>
    <t>Ngân Ngọc Khánh</t>
  </si>
  <si>
    <t>040307025767</t>
  </si>
  <si>
    <t>0373603020</t>
  </si>
  <si>
    <t>8807183758</t>
  </si>
  <si>
    <t>255772030110083</t>
  </si>
  <si>
    <t>Quán Vi Thị Hảo</t>
  </si>
  <si>
    <t>040307006035</t>
  </si>
  <si>
    <t>0886167642</t>
  </si>
  <si>
    <t>8841672487</t>
  </si>
  <si>
    <t>255772030110105</t>
  </si>
  <si>
    <t>Vừ Y Kia</t>
  </si>
  <si>
    <t>040307014351</t>
  </si>
  <si>
    <t>0339890654</t>
  </si>
  <si>
    <t>8866842207</t>
  </si>
  <si>
    <t>255772030110107</t>
  </si>
  <si>
    <t>Vi Duy Đức</t>
  </si>
  <si>
    <t>040206010566</t>
  </si>
  <si>
    <t>0352341768</t>
  </si>
  <si>
    <t>255772030110110</t>
  </si>
  <si>
    <t>Lữ Thị Tú Anh</t>
  </si>
  <si>
    <t>0347750719</t>
  </si>
  <si>
    <t>8836842212</t>
  </si>
  <si>
    <t>255772030110066</t>
  </si>
  <si>
    <t>Lộc Thị Khánh Đan</t>
  </si>
  <si>
    <t>040307000463</t>
  </si>
  <si>
    <t>0961749203</t>
  </si>
  <si>
    <t>0862551422</t>
  </si>
  <si>
    <t>255772030110098</t>
  </si>
  <si>
    <t>Trương Thị Họa My</t>
  </si>
  <si>
    <t>0842769899</t>
  </si>
  <si>
    <t>8864329416</t>
  </si>
  <si>
    <t>255772030110106</t>
  </si>
  <si>
    <t>Lỳ Bá Và</t>
  </si>
  <si>
    <t>0382269565</t>
  </si>
  <si>
    <t>8886842208</t>
  </si>
  <si>
    <t>225722020110092</t>
  </si>
  <si>
    <t>Lương Mạnh Kiên</t>
  </si>
  <si>
    <t>Ngôn ngữ Anh</t>
  </si>
  <si>
    <t>Khoa SP Ngoại ngữ</t>
  </si>
  <si>
    <t>040204004583</t>
  </si>
  <si>
    <t>0867997893</t>
  </si>
  <si>
    <t>225722020110071</t>
  </si>
  <si>
    <t>La Thị Bảo Trinh</t>
  </si>
  <si>
    <t>0819953698</t>
  </si>
  <si>
    <t>103877358158</t>
  </si>
  <si>
    <t>225722020110183</t>
  </si>
  <si>
    <t>Ngô Cẩm Tú</t>
  </si>
  <si>
    <t>040304008916</t>
  </si>
  <si>
    <t>0382315320</t>
  </si>
  <si>
    <t>108877359644</t>
  </si>
  <si>
    <t>225722020110055</t>
  </si>
  <si>
    <t>Phạm Thị Ngọc Linh</t>
  </si>
  <si>
    <t>040304006308</t>
  </si>
  <si>
    <t>0865973920</t>
  </si>
  <si>
    <t>225722020110056</t>
  </si>
  <si>
    <t>Xeo Thị Xúc</t>
  </si>
  <si>
    <t>Khớ Mú</t>
  </si>
  <si>
    <t>0339651202</t>
  </si>
  <si>
    <t>235722020110045</t>
  </si>
  <si>
    <t>Lương Thanh Hằng</t>
  </si>
  <si>
    <t>037305004984</t>
  </si>
  <si>
    <t>0372451859</t>
  </si>
  <si>
    <t>235722020110043</t>
  </si>
  <si>
    <t>Cao Thị Anh Tâm</t>
  </si>
  <si>
    <t>042305010054</t>
  </si>
  <si>
    <t>0344047522</t>
  </si>
  <si>
    <t>235722020110122</t>
  </si>
  <si>
    <t>Nguyễn Thị Thùy Trang</t>
  </si>
  <si>
    <t>04030501125</t>
  </si>
  <si>
    <t>0964666731</t>
  </si>
  <si>
    <t>235722020110067</t>
  </si>
  <si>
    <t>Kha Thị Thu Trang</t>
  </si>
  <si>
    <t>040305016838</t>
  </si>
  <si>
    <t>0395461205</t>
  </si>
  <si>
    <t>235722020110149</t>
  </si>
  <si>
    <t>Và Bá Tinh</t>
  </si>
  <si>
    <t>040205017856</t>
  </si>
  <si>
    <t>0829488816</t>
  </si>
  <si>
    <t>235722020110183</t>
  </si>
  <si>
    <t>Lô Thị Hồng Duyên</t>
  </si>
  <si>
    <t>040304017047</t>
  </si>
  <si>
    <t>0328408357</t>
  </si>
  <si>
    <t>8820405613</t>
  </si>
  <si>
    <t>235722020110054</t>
  </si>
  <si>
    <t>Nguyễn Hồ Khánh Linh</t>
  </si>
  <si>
    <t>040305008754</t>
  </si>
  <si>
    <t>0398926200</t>
  </si>
  <si>
    <t>235722020110153</t>
  </si>
  <si>
    <t>Lương Thị Minh</t>
  </si>
  <si>
    <t>040305015986</t>
  </si>
  <si>
    <t>0399175426</t>
  </si>
  <si>
    <t>245722020110271</t>
  </si>
  <si>
    <t>Vũ Thị Hiên</t>
  </si>
  <si>
    <t>040306008073</t>
  </si>
  <si>
    <t>0975207845</t>
  </si>
  <si>
    <t>245722020110175</t>
  </si>
  <si>
    <t>Nguyễn Đình Phi</t>
  </si>
  <si>
    <t>040206000659</t>
  </si>
  <si>
    <t>0372943568</t>
  </si>
  <si>
    <t>245722020110189</t>
  </si>
  <si>
    <t>Lê Thị Mỹ Duyên</t>
  </si>
  <si>
    <t>042304002006</t>
  </si>
  <si>
    <t>0982894027</t>
  </si>
  <si>
    <t>245722020110113</t>
  </si>
  <si>
    <t>Vi Thị May Dịu</t>
  </si>
  <si>
    <t>040306011161</t>
  </si>
  <si>
    <t>0396475434</t>
  </si>
  <si>
    <t>245722020110300</t>
  </si>
  <si>
    <t>Vi Thị Linh Trúc</t>
  </si>
  <si>
    <t>040306021339</t>
  </si>
  <si>
    <t>0347352320</t>
  </si>
  <si>
    <t>245722020110311</t>
  </si>
  <si>
    <t>Quang Thị Thùy Tiên</t>
  </si>
  <si>
    <t>040305027053</t>
  </si>
  <si>
    <t>0364206528</t>
  </si>
  <si>
    <t>245722020110318</t>
  </si>
  <si>
    <t>Vi Thị Thuỷ Tiên</t>
  </si>
  <si>
    <t>040306019025</t>
  </si>
  <si>
    <t>0354207381</t>
  </si>
  <si>
    <t>245722020110041</t>
  </si>
  <si>
    <t>Phạm Bá Khải</t>
  </si>
  <si>
    <t>038206030904</t>
  </si>
  <si>
    <t>0368683115</t>
  </si>
  <si>
    <t>245722020110059</t>
  </si>
  <si>
    <t>Đặng Huyền Diệu Ngân</t>
  </si>
  <si>
    <t>040306005056</t>
  </si>
  <si>
    <t>0333844583</t>
  </si>
  <si>
    <t>245722020110176</t>
  </si>
  <si>
    <t>Hờ Thanh Thanh</t>
  </si>
  <si>
    <t>040306021552</t>
  </si>
  <si>
    <t>0343576683</t>
  </si>
  <si>
    <t>245722020110205</t>
  </si>
  <si>
    <t>Lê Thị Hoài Trang</t>
  </si>
  <si>
    <t>65B5</t>
  </si>
  <si>
    <t>040306004096</t>
  </si>
  <si>
    <t>0888651408</t>
  </si>
  <si>
    <t>107882993961</t>
  </si>
  <si>
    <t>245722020110230</t>
  </si>
  <si>
    <t>Lô Thị Quỳnh Hoa</t>
  </si>
  <si>
    <t>040306017568</t>
  </si>
  <si>
    <t>0373194846</t>
  </si>
  <si>
    <t>245722020110143</t>
  </si>
  <si>
    <t>Lê Duy Hiến</t>
  </si>
  <si>
    <t>040205023672</t>
  </si>
  <si>
    <t>0399568724</t>
  </si>
  <si>
    <t>255722020110049</t>
  </si>
  <si>
    <t>Trần Thị Ánh Nguyệt</t>
  </si>
  <si>
    <t>040307008909</t>
  </si>
  <si>
    <t>0945183359</t>
  </si>
  <si>
    <t>255722020110156</t>
  </si>
  <si>
    <t>Lương Thị Bảo Ánh</t>
  </si>
  <si>
    <t>040307015332</t>
  </si>
  <si>
    <t>0818168077</t>
  </si>
  <si>
    <t>255722020110074</t>
  </si>
  <si>
    <t>Hồ Thị Quỳnh</t>
  </si>
  <si>
    <t>040304019219</t>
  </si>
  <si>
    <t>0399937410</t>
  </si>
  <si>
    <t>255722020110066</t>
  </si>
  <si>
    <t>Lương Thị Thanh Trúc</t>
  </si>
  <si>
    <t>040307017649</t>
  </si>
  <si>
    <t>0968083406</t>
  </si>
  <si>
    <t>255722020410030</t>
  </si>
  <si>
    <t>Lò Thị Huyền</t>
  </si>
  <si>
    <t>Ngôn ngữ Trung Quốc</t>
  </si>
  <si>
    <t>040307001205</t>
  </si>
  <si>
    <t>0326165284</t>
  </si>
  <si>
    <t>8833082001</t>
  </si>
  <si>
    <t>255722020410046</t>
  </si>
  <si>
    <t>Lô Thị Út Thương</t>
  </si>
  <si>
    <t>040307024572</t>
  </si>
  <si>
    <t>0886019407</t>
  </si>
  <si>
    <t>245758010110005</t>
  </si>
  <si>
    <t>Lang Quốc Thái</t>
  </si>
  <si>
    <t>Kiến trúc</t>
  </si>
  <si>
    <t>Khoa Xây dựng</t>
  </si>
  <si>
    <t>040206014156</t>
  </si>
  <si>
    <t>0337923586</t>
  </si>
  <si>
    <t>255758030110054</t>
  </si>
  <si>
    <t>Nguyễn Thái Anh</t>
  </si>
  <si>
    <t xml:space="preserve">66B </t>
  </si>
  <si>
    <t>Kinh tế xây dựng</t>
  </si>
  <si>
    <t>040206023135</t>
  </si>
  <si>
    <t>0846063640</t>
  </si>
  <si>
    <t>8886842399</t>
  </si>
  <si>
    <t>215758020110057</t>
  </si>
  <si>
    <t>Lê Anh Hào</t>
  </si>
  <si>
    <t>62K2</t>
  </si>
  <si>
    <t>Kỹ thuật xây dựng</t>
  </si>
  <si>
    <t>0867087073</t>
  </si>
  <si>
    <t>103874807141</t>
  </si>
  <si>
    <t>225758020110007</t>
  </si>
  <si>
    <t>Nguyễn Hữu Bằng</t>
  </si>
  <si>
    <t>040204025658</t>
  </si>
  <si>
    <t>0927505268</t>
  </si>
  <si>
    <t>102877445047</t>
  </si>
  <si>
    <t>225758020110025</t>
  </si>
  <si>
    <t>Hoàng Văn Dũng</t>
  </si>
  <si>
    <t>040204001131</t>
  </si>
  <si>
    <t>0392399903</t>
  </si>
  <si>
    <t>109877193304</t>
  </si>
  <si>
    <t>245758020110006</t>
  </si>
  <si>
    <t>Lộc Đăng Khôi</t>
  </si>
  <si>
    <t>040206027148</t>
  </si>
  <si>
    <t>0376903376</t>
  </si>
  <si>
    <t>245758020110038</t>
  </si>
  <si>
    <t>Thái Doãn Anh Hào</t>
  </si>
  <si>
    <t>040205026679</t>
  </si>
  <si>
    <t>0353550647</t>
  </si>
  <si>
    <t>245758020110035</t>
  </si>
  <si>
    <t>Hoàng Văn Tuấn</t>
  </si>
  <si>
    <t xml:space="preserve">DTTS, HN/HCN </t>
  </si>
  <si>
    <t>040206016734</t>
  </si>
  <si>
    <t>0325932521</t>
  </si>
  <si>
    <t>235758020510004</t>
  </si>
  <si>
    <t>Nguyễn Ngọc Nam Hải</t>
  </si>
  <si>
    <t>Kỹ thuật xây dựng công trình giao thông</t>
  </si>
  <si>
    <t>042204010412</t>
  </si>
  <si>
    <t>0949466582</t>
  </si>
  <si>
    <t>8840501528</t>
  </si>
  <si>
    <t>255758020510014</t>
  </si>
  <si>
    <t>PHAN ĐỨC HOÀ</t>
  </si>
  <si>
    <t>;040207012959</t>
  </si>
  <si>
    <t>0368155278</t>
  </si>
  <si>
    <t>TỔNG</t>
  </si>
  <si>
    <t>Ấn định danh sách gồm có 364 sinh viên.</t>
  </si>
  <si>
    <t>Tổng số tiền bằng chữ: Hai tỷ sáu trăm mười ba triệu sáu trăm bốn mươi mốt nghìn đồng.</t>
  </si>
  <si>
    <t>TRƯỞNG PHÒNG CTCT-HSSV</t>
  </si>
  <si>
    <t>TRƯỞNG PHÒNG KH-TC</t>
  </si>
  <si>
    <t>HIỆU TRƯỞNG</t>
  </si>
  <si>
    <t>ThS. Nguyễn Hồng Soa</t>
  </si>
  <si>
    <t>TS. Hoàng Việt Dũng</t>
  </si>
  <si>
    <t>GS.TS. Nguyễn Huy Bằng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</si>
</sst>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[Red]0"/>
    <numFmt numFmtId="165" formatCode="_-* #,##0_-;\-* #,##0_-;_-* &quot;-&quot;??_-;_-@_-"/>
    <numFmt numFmtId="166" formatCode="_(* #,##0.00_);_(* \(#,##0.00\);_(* &quot;-&quot;??_);_(@_)"/>
  </numFmts>
  <fonts count="1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rgb="FF000000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u/>
      <sz val="20"/>
      <color theme="1"/>
      <name val="Times New Roman"/>
      <family val="1"/>
    </font>
    <font>
      <i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Calibri"/>
      <family val="2"/>
      <charset val="163"/>
      <scheme val="minor"/>
    </font>
    <font>
      <b/>
      <i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166" fontId="9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10" fillId="0" borderId="0"/>
  </cellStyleXfs>
  <cellXfs count="92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shrinkToFit="1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 shrinkToFit="1"/>
    </xf>
    <xf numFmtId="0" fontId="8" fillId="2" borderId="2" xfId="2" applyFont="1" applyFill="1" applyBorder="1" applyAlignment="1">
      <alignment horizontal="center" vertical="center" wrapText="1" shrinkToFit="1"/>
    </xf>
    <xf numFmtId="0" fontId="8" fillId="0" borderId="0" xfId="2" applyFont="1" applyAlignment="1">
      <alignment horizontal="center" vertical="center"/>
    </xf>
    <xf numFmtId="0" fontId="5" fillId="0" borderId="2" xfId="2" applyFont="1" applyBorder="1" applyAlignment="1">
      <alignment horizontal="center" vertical="center" shrinkToFit="1"/>
    </xf>
    <xf numFmtId="1" fontId="5" fillId="0" borderId="2" xfId="3" quotePrefix="1" applyNumberFormat="1" applyFont="1" applyBorder="1" applyAlignment="1">
      <alignment horizontal="center" vertical="center" shrinkToFit="1"/>
    </xf>
    <xf numFmtId="0" fontId="5" fillId="0" borderId="2" xfId="3" applyFont="1" applyBorder="1" applyAlignment="1">
      <alignment horizontal="left" vertical="center" shrinkToFit="1"/>
    </xf>
    <xf numFmtId="0" fontId="5" fillId="0" borderId="2" xfId="3" applyFont="1" applyBorder="1" applyAlignment="1">
      <alignment horizontal="center" vertical="center" shrinkToFit="1"/>
    </xf>
    <xf numFmtId="3" fontId="5" fillId="0" borderId="2" xfId="3" applyNumberFormat="1" applyFont="1" applyBorder="1" applyAlignment="1">
      <alignment horizontal="center" vertical="center" shrinkToFit="1"/>
    </xf>
    <xf numFmtId="3" fontId="5" fillId="0" borderId="2" xfId="4" applyNumberFormat="1" applyFont="1" applyFill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center" vertical="center" shrinkToFit="1"/>
    </xf>
    <xf numFmtId="3" fontId="5" fillId="0" borderId="2" xfId="5" quotePrefix="1" applyNumberFormat="1" applyFont="1" applyFill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 shrinkToFit="1"/>
    </xf>
    <xf numFmtId="0" fontId="5" fillId="0" borderId="2" xfId="2" applyFont="1" applyBorder="1" applyAlignment="1">
      <alignment horizontal="left" vertical="center" shrinkToFit="1"/>
    </xf>
    <xf numFmtId="49" fontId="5" fillId="0" borderId="2" xfId="2" quotePrefix="1" applyNumberFormat="1" applyFont="1" applyBorder="1" applyAlignment="1">
      <alignment horizontal="center" vertical="center" shrinkToFit="1"/>
    </xf>
    <xf numFmtId="49" fontId="5" fillId="0" borderId="2" xfId="2" applyNumberFormat="1" applyFont="1" applyBorder="1" applyAlignment="1">
      <alignment horizontal="center" vertical="center" shrinkToFit="1"/>
    </xf>
    <xf numFmtId="0" fontId="5" fillId="0" borderId="2" xfId="2" quotePrefix="1" applyFont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left" vertical="center" shrinkToFit="1"/>
    </xf>
    <xf numFmtId="1" fontId="5" fillId="0" borderId="2" xfId="2" quotePrefix="1" applyNumberFormat="1" applyFont="1" applyBorder="1" applyAlignment="1">
      <alignment horizontal="center" vertical="center" shrinkToFit="1"/>
    </xf>
    <xf numFmtId="3" fontId="5" fillId="0" borderId="2" xfId="6" applyNumberFormat="1" applyFont="1" applyFill="1" applyBorder="1" applyAlignment="1">
      <alignment horizontal="center" vertical="center" shrinkToFit="1"/>
    </xf>
    <xf numFmtId="0" fontId="5" fillId="0" borderId="2" xfId="3" quotePrefix="1" applyFont="1" applyBorder="1" applyAlignment="1">
      <alignment vertical="center" shrinkToFit="1"/>
    </xf>
    <xf numFmtId="0" fontId="5" fillId="0" borderId="2" xfId="7" quotePrefix="1" applyFont="1" applyBorder="1" applyAlignment="1">
      <alignment horizontal="center" vertical="center" shrinkToFit="1"/>
    </xf>
    <xf numFmtId="0" fontId="5" fillId="0" borderId="2" xfId="7" applyFont="1" applyBorder="1" applyAlignment="1">
      <alignment vertical="center" shrinkToFit="1"/>
    </xf>
    <xf numFmtId="0" fontId="5" fillId="0" borderId="2" xfId="7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wrapText="1" shrinkToFit="1"/>
    </xf>
    <xf numFmtId="1" fontId="5" fillId="0" borderId="2" xfId="2" applyNumberFormat="1" applyFont="1" applyBorder="1" applyAlignment="1">
      <alignment horizontal="left" vertical="center" shrinkToFit="1"/>
    </xf>
    <xf numFmtId="1" fontId="5" fillId="0" borderId="2" xfId="2" quotePrefix="1" applyNumberFormat="1" applyFont="1" applyBorder="1" applyAlignment="1">
      <alignment horizontal="left" vertical="center" shrinkToFit="1"/>
    </xf>
    <xf numFmtId="0" fontId="5" fillId="0" borderId="2" xfId="7" quotePrefix="1" applyFont="1" applyBorder="1" applyAlignment="1">
      <alignment horizontal="center" vertical="center"/>
    </xf>
    <xf numFmtId="1" fontId="5" fillId="0" borderId="2" xfId="7" quotePrefix="1" applyNumberFormat="1" applyFont="1" applyBorder="1" applyAlignment="1">
      <alignment horizontal="center" vertical="center" shrinkToFit="1"/>
    </xf>
    <xf numFmtId="164" fontId="5" fillId="0" borderId="2" xfId="3" quotePrefix="1" applyNumberFormat="1" applyFont="1" applyBorder="1" applyAlignment="1">
      <alignment horizontal="center" vertical="center" shrinkToFit="1"/>
    </xf>
    <xf numFmtId="164" fontId="5" fillId="0" borderId="2" xfId="3" applyNumberFormat="1" applyFont="1" applyBorder="1" applyAlignment="1">
      <alignment horizontal="center" vertical="center" shrinkToFit="1"/>
    </xf>
    <xf numFmtId="0" fontId="5" fillId="0" borderId="2" xfId="7" applyFont="1" applyBorder="1" applyAlignment="1">
      <alignment horizontal="center" vertical="center"/>
    </xf>
    <xf numFmtId="1" fontId="5" fillId="0" borderId="2" xfId="7" quotePrefix="1" applyNumberFormat="1" applyFont="1" applyBorder="1" applyAlignment="1">
      <alignment horizontal="center" vertical="center"/>
    </xf>
    <xf numFmtId="3" fontId="5" fillId="0" borderId="2" xfId="4" quotePrefix="1" applyNumberFormat="1" applyFont="1" applyFill="1" applyBorder="1" applyAlignment="1">
      <alignment horizontal="center" vertical="center" shrinkToFit="1"/>
    </xf>
    <xf numFmtId="1" fontId="5" fillId="0" borderId="2" xfId="2" applyNumberFormat="1" applyFont="1" applyBorder="1" applyAlignment="1">
      <alignment horizontal="center" vertical="center"/>
    </xf>
    <xf numFmtId="0" fontId="5" fillId="0" borderId="2" xfId="2" quotePrefix="1" applyFont="1" applyBorder="1" applyAlignment="1">
      <alignment horizontal="center" vertical="center" wrapText="1" shrinkToFit="1"/>
    </xf>
    <xf numFmtId="0" fontId="5" fillId="0" borderId="2" xfId="2" applyFont="1" applyBorder="1" applyAlignment="1">
      <alignment horizontal="left" vertical="center" wrapText="1" shrinkToFit="1"/>
    </xf>
    <xf numFmtId="1" fontId="5" fillId="0" borderId="2" xfId="2" applyNumberFormat="1" applyFont="1" applyBorder="1" applyAlignment="1">
      <alignment horizontal="center" vertical="center" shrinkToFit="1"/>
    </xf>
    <xf numFmtId="164" fontId="5" fillId="0" borderId="2" xfId="2" quotePrefix="1" applyNumberFormat="1" applyFont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2" xfId="2" quotePrefix="1" applyFont="1" applyBorder="1" applyAlignment="1">
      <alignment horizontal="left" vertical="center" shrinkToFit="1"/>
    </xf>
    <xf numFmtId="0" fontId="5" fillId="0" borderId="2" xfId="8" quotePrefix="1" applyFont="1" applyBorder="1" applyAlignment="1">
      <alignment horizontal="left" vertical="center" shrinkToFit="1"/>
    </xf>
    <xf numFmtId="0" fontId="5" fillId="0" borderId="2" xfId="2" applyFont="1" applyBorder="1" applyAlignment="1">
      <alignment vertical="center" shrinkToFi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7" quotePrefix="1" applyNumberFormat="1" applyFont="1" applyBorder="1" applyAlignment="1">
      <alignment horizontal="center" vertical="center" shrinkToFit="1"/>
    </xf>
    <xf numFmtId="0" fontId="5" fillId="0" borderId="2" xfId="2" quotePrefix="1" applyFont="1" applyBorder="1" applyAlignment="1">
      <alignment horizontal="center" vertical="center"/>
    </xf>
    <xf numFmtId="0" fontId="5" fillId="0" borderId="2" xfId="2" quotePrefix="1" applyFont="1" applyBorder="1" applyAlignment="1">
      <alignment vertical="center" shrinkToFi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shrinkToFit="1"/>
    </xf>
    <xf numFmtId="0" fontId="14" fillId="0" borderId="2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3" xfId="2" applyFont="1" applyBorder="1" applyAlignment="1">
      <alignment horizontal="center" vertical="center" shrinkToFit="1"/>
    </xf>
    <xf numFmtId="0" fontId="5" fillId="0" borderId="3" xfId="2" quotePrefix="1" applyFont="1" applyBorder="1" applyAlignment="1">
      <alignment horizontal="center" vertical="center" shrinkToFit="1"/>
    </xf>
    <xf numFmtId="1" fontId="5" fillId="0" borderId="3" xfId="2" applyNumberFormat="1" applyFont="1" applyBorder="1" applyAlignment="1">
      <alignment horizontal="center" vertical="center" shrinkToFit="1"/>
    </xf>
    <xf numFmtId="0" fontId="5" fillId="0" borderId="0" xfId="2" quotePrefix="1" applyFont="1" applyAlignment="1">
      <alignment horizontal="center" vertical="center" shrinkToFit="1"/>
    </xf>
    <xf numFmtId="1" fontId="5" fillId="0" borderId="2" xfId="3" applyNumberFormat="1" applyFont="1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 shrinkToFit="1"/>
    </xf>
    <xf numFmtId="0" fontId="8" fillId="0" borderId="2" xfId="2" applyFont="1" applyBorder="1" applyAlignment="1">
      <alignment vertical="center" shrinkToFit="1"/>
    </xf>
    <xf numFmtId="165" fontId="8" fillId="0" borderId="2" xfId="4" applyNumberFormat="1" applyFont="1" applyFill="1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 shrinkToFit="1"/>
    </xf>
    <xf numFmtId="0" fontId="8" fillId="0" borderId="2" xfId="7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left" vertical="center"/>
    </xf>
    <xf numFmtId="3" fontId="4" fillId="0" borderId="0" xfId="2" applyNumberFormat="1" applyFont="1" applyAlignment="1">
      <alignment horizontal="center" vertical="center"/>
    </xf>
    <xf numFmtId="0" fontId="3" fillId="0" borderId="0" xfId="2" quotePrefix="1" applyFont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165" fontId="3" fillId="0" borderId="0" xfId="2" applyNumberFormat="1" applyFont="1" applyAlignment="1">
      <alignment horizontal="center" vertical="center"/>
    </xf>
    <xf numFmtId="0" fontId="3" fillId="0" borderId="0" xfId="7" applyFont="1" applyAlignment="1">
      <alignment horizontal="center" vertical="center" shrinkToFit="1"/>
    </xf>
    <xf numFmtId="3" fontId="3" fillId="0" borderId="0" xfId="1" quotePrefix="1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2" applyFont="1" applyAlignment="1">
      <alignment horizontal="left" vertical="center"/>
    </xf>
  </cellXfs>
  <cellStyles count="9">
    <cellStyle name="Comma" xfId="1" builtinId="3"/>
    <cellStyle name="Comma 3" xfId="4" xr:uid="{108A114D-9FE5-4819-B016-556E18BDEC14}"/>
    <cellStyle name="Comma 3 2" xfId="6" xr:uid="{1FEDFC7F-0C76-408C-89C7-9FEC6149858A}"/>
    <cellStyle name="Comma 6" xfId="5" xr:uid="{6315E9ED-20C7-4A53-AD13-FEBE63CC82EE}"/>
    <cellStyle name="Normal" xfId="0" builtinId="0"/>
    <cellStyle name="Normal 2 3" xfId="2" xr:uid="{B077BDA2-172D-4638-9282-A9BA6C44145A}"/>
    <cellStyle name="Normal 2 4" xfId="8" xr:uid="{F02B55A7-4D2E-4D84-A6A6-7A0CA0D9CD49}"/>
    <cellStyle name="Normal 5 2" xfId="7" xr:uid="{00504B79-27C3-4462-AC19-EC2834EFC0E2}"/>
    <cellStyle name="Normal 7" xfId="3" xr:uid="{90A9407F-0C53-4325-875D-C3CE390BFEA3}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rosoft%20Windows/Desktop/STKK%2064%20%20Tr&#432;&#7901;ng%20KHXH&amp;NV%20-%209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personal/huyenvth_vinhuni_edu_vn/Documents/07.%20&#272;&#7890;NG%20B&#7896;%20H&#211;A/02%20-%20CH&#7870;%20&#272;&#7896;%20CH&#205;NH%20S&#193;CH/6%20-%20H&#7884;C%20B&#7892;NG%20KKHT%20%20SINH%20VI&#202;N/11.%20H&#7884;C%20K&#7922;%201%20N&#258;M%202025-2026%20(X&#201;T%20K&#7922;%202%20N&#258;M%2024-25)/&#272;I&#7874;M%20T&#205;CH%20L&#360;Y/Sheet1?07B10C28" TargetMode="External"/><Relationship Id="rId1" Type="http://schemas.openxmlformats.org/officeDocument/2006/relationships/externalLinkPath" Target="file:///\\07B10C28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"/>
    </sheetNames>
    <sheetDataSet>
      <sheetData sheetId="0" refreshError="1">
        <row r="19">
          <cell r="Q19">
            <v>103879835157</v>
          </cell>
        </row>
        <row r="53">
          <cell r="Q53">
            <v>108879835191</v>
          </cell>
        </row>
        <row r="75">
          <cell r="Q75">
            <v>105879835213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341A-F69D-4A4C-94EC-B3F32A554739}">
  <dimension ref="A1:Z384"/>
  <sheetViews>
    <sheetView tabSelected="1" zoomScale="55" zoomScaleNormal="55" zoomScaleSheetLayoutView="55" workbookViewId="0">
      <pane xSplit="6" ySplit="8" topLeftCell="G365" activePane="bottomRight" state="frozen"/>
      <selection pane="topRight" activeCell="F1" sqref="F1"/>
      <selection pane="bottomLeft" activeCell="A2" sqref="A2"/>
      <selection pane="bottomRight" activeCell="AI377" sqref="AI377"/>
    </sheetView>
  </sheetViews>
  <sheetFormatPr defaultColWidth="10.28515625" defaultRowHeight="25.5" customHeight="1" x14ac:dyDescent="0.25"/>
  <cols>
    <col min="1" max="2" width="6.7109375" style="5" customWidth="1"/>
    <col min="3" max="3" width="10.7109375" style="5" hidden="1" customWidth="1"/>
    <col min="4" max="4" width="9.7109375" style="5" hidden="1" customWidth="1"/>
    <col min="5" max="5" width="22.42578125" style="5" customWidth="1"/>
    <col min="6" max="6" width="26.42578125" style="91" customWidth="1"/>
    <col min="7" max="7" width="9.28515625" style="5" customWidth="1"/>
    <col min="8" max="8" width="10.5703125" style="26" customWidth="1"/>
    <col min="9" max="9" width="28.85546875" style="26" customWidth="1"/>
    <col min="10" max="10" width="17.28515625" style="26" hidden="1" customWidth="1"/>
    <col min="11" max="11" width="13" style="26" hidden="1" customWidth="1"/>
    <col min="12" max="12" width="23.28515625" style="5" customWidth="1"/>
    <col min="13" max="13" width="14.42578125" style="5" hidden="1" customWidth="1"/>
    <col min="14" max="14" width="11.140625" style="5" hidden="1" customWidth="1"/>
    <col min="15" max="15" width="20.140625" style="26" customWidth="1"/>
    <col min="16" max="16" width="12.5703125" style="5" customWidth="1"/>
    <col min="17" max="17" width="10.85546875" style="5" customWidth="1"/>
    <col min="18" max="18" width="14.5703125" style="5" hidden="1" customWidth="1"/>
    <col min="19" max="19" width="19.140625" style="5" bestFit="1" customWidth="1"/>
    <col min="20" max="20" width="9.42578125" style="5" customWidth="1"/>
    <col min="21" max="21" width="16.7109375" style="5" customWidth="1"/>
    <col min="22" max="22" width="18.5703125" style="5" customWidth="1"/>
    <col min="23" max="23" width="20.7109375" style="5" customWidth="1"/>
    <col min="24" max="24" width="22.42578125" style="5" customWidth="1"/>
    <col min="25" max="25" width="15.28515625" style="5" customWidth="1"/>
    <col min="27" max="16384" width="10.28515625" style="5"/>
  </cols>
  <sheetData>
    <row r="1" spans="1:25" ht="29.25" customHeight="1" x14ac:dyDescent="0.25">
      <c r="A1" s="1" t="s">
        <v>0</v>
      </c>
      <c r="B1" s="1"/>
      <c r="C1" s="1"/>
      <c r="D1" s="1"/>
      <c r="E1" s="1"/>
      <c r="F1" s="1"/>
      <c r="G1" s="2"/>
      <c r="H1" s="3"/>
      <c r="I1" s="3"/>
      <c r="J1" s="3"/>
      <c r="K1" s="3"/>
      <c r="L1" s="2"/>
      <c r="M1" s="2"/>
      <c r="N1" s="2"/>
      <c r="O1" s="3"/>
      <c r="P1" s="4" t="s">
        <v>1</v>
      </c>
      <c r="Q1" s="4"/>
      <c r="R1" s="4"/>
      <c r="S1" s="4"/>
      <c r="T1" s="4"/>
      <c r="U1" s="4"/>
      <c r="V1" s="4"/>
      <c r="W1" s="4"/>
      <c r="X1" s="4"/>
      <c r="Y1" s="4"/>
    </row>
    <row r="2" spans="1:25" ht="29.25" customHeight="1" x14ac:dyDescent="0.25">
      <c r="A2" s="6" t="s">
        <v>2</v>
      </c>
      <c r="B2" s="6"/>
      <c r="C2" s="6"/>
      <c r="D2" s="6"/>
      <c r="E2" s="6"/>
      <c r="F2" s="6"/>
      <c r="G2" s="2"/>
      <c r="H2" s="3"/>
      <c r="I2" s="3"/>
      <c r="J2" s="3"/>
      <c r="K2" s="3"/>
      <c r="L2" s="2"/>
      <c r="M2" s="2"/>
      <c r="N2" s="2"/>
      <c r="O2" s="3"/>
      <c r="P2" s="6" t="s">
        <v>3</v>
      </c>
      <c r="Q2" s="6"/>
      <c r="R2" s="6"/>
      <c r="S2" s="6"/>
      <c r="T2" s="6"/>
      <c r="U2" s="6"/>
      <c r="V2" s="6"/>
      <c r="W2" s="6"/>
      <c r="X2" s="6"/>
      <c r="Y2" s="6"/>
    </row>
    <row r="3" spans="1:25" ht="25.5" customHeight="1" x14ac:dyDescent="0.25">
      <c r="A3" s="7"/>
      <c r="B3" s="7"/>
      <c r="C3" s="7"/>
      <c r="D3" s="7"/>
      <c r="E3" s="7"/>
      <c r="F3" s="8"/>
      <c r="G3" s="2"/>
      <c r="H3" s="3"/>
      <c r="I3" s="3"/>
      <c r="J3" s="3"/>
      <c r="K3" s="3"/>
      <c r="L3" s="2"/>
      <c r="M3" s="2"/>
      <c r="N3" s="2"/>
      <c r="O3" s="3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5.5" customHeight="1" x14ac:dyDescent="0.2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9"/>
    </row>
    <row r="5" spans="1:25" ht="25.5" customHeight="1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9"/>
    </row>
    <row r="6" spans="1:25" ht="25.5" customHeight="1" x14ac:dyDescent="0.25">
      <c r="A6" s="10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9"/>
    </row>
    <row r="7" spans="1:25" ht="25.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  <c r="T7" s="12"/>
      <c r="U7" s="12"/>
      <c r="V7" s="11"/>
      <c r="W7" s="11"/>
      <c r="X7" s="11"/>
      <c r="Y7" s="11"/>
    </row>
    <row r="8" spans="1:25" s="16" customFormat="1" ht="59.25" customHeight="1" x14ac:dyDescent="0.25">
      <c r="A8" s="13" t="s">
        <v>7</v>
      </c>
      <c r="B8" s="13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5" t="s">
        <v>16</v>
      </c>
      <c r="K8" s="15" t="s">
        <v>17</v>
      </c>
      <c r="L8" s="14" t="s">
        <v>18</v>
      </c>
      <c r="M8" s="15" t="s">
        <v>19</v>
      </c>
      <c r="N8" s="15" t="s">
        <v>20</v>
      </c>
      <c r="O8" s="14" t="s">
        <v>21</v>
      </c>
      <c r="P8" s="14" t="s">
        <v>22</v>
      </c>
      <c r="Q8" s="14" t="s">
        <v>23</v>
      </c>
      <c r="R8" s="15" t="s">
        <v>24</v>
      </c>
      <c r="S8" s="14" t="s">
        <v>25</v>
      </c>
      <c r="T8" s="14" t="s">
        <v>26</v>
      </c>
      <c r="U8" s="14" t="s">
        <v>27</v>
      </c>
      <c r="V8" s="14" t="s">
        <v>28</v>
      </c>
      <c r="W8" s="14" t="s">
        <v>29</v>
      </c>
      <c r="X8" s="14" t="s">
        <v>30</v>
      </c>
      <c r="Y8" s="14" t="s">
        <v>31</v>
      </c>
    </row>
    <row r="9" spans="1:25" s="26" customFormat="1" ht="29.25" customHeight="1" x14ac:dyDescent="0.25">
      <c r="A9" s="17">
        <v>1</v>
      </c>
      <c r="B9" s="17">
        <v>1</v>
      </c>
      <c r="C9" s="17">
        <v>740</v>
      </c>
      <c r="D9" s="17">
        <v>688</v>
      </c>
      <c r="E9" s="18" t="s">
        <v>32</v>
      </c>
      <c r="F9" s="19" t="s">
        <v>33</v>
      </c>
      <c r="G9" s="20">
        <v>66</v>
      </c>
      <c r="H9" s="20" t="s">
        <v>34</v>
      </c>
      <c r="I9" s="20" t="s">
        <v>35</v>
      </c>
      <c r="J9" s="20">
        <v>7140201</v>
      </c>
      <c r="K9" s="20">
        <v>1</v>
      </c>
      <c r="L9" s="20" t="s">
        <v>36</v>
      </c>
      <c r="M9" s="17">
        <v>1</v>
      </c>
      <c r="N9" s="20">
        <v>1</v>
      </c>
      <c r="O9" s="20" t="s">
        <v>37</v>
      </c>
      <c r="P9" s="20" t="s">
        <v>38</v>
      </c>
      <c r="Q9" s="20"/>
      <c r="R9" s="21">
        <v>1590000</v>
      </c>
      <c r="S9" s="22">
        <f>R9</f>
        <v>1590000</v>
      </c>
      <c r="T9" s="22">
        <v>5</v>
      </c>
      <c r="U9" s="22">
        <f t="shared" ref="U9:U72" si="0">S9*T9</f>
        <v>7950000</v>
      </c>
      <c r="V9" s="23" t="s">
        <v>39</v>
      </c>
      <c r="W9" s="23" t="s">
        <v>40</v>
      </c>
      <c r="X9" s="24" t="s">
        <v>41</v>
      </c>
      <c r="Y9" s="20" t="s">
        <v>42</v>
      </c>
    </row>
    <row r="10" spans="1:25" s="26" customFormat="1" ht="29.25" customHeight="1" x14ac:dyDescent="0.25">
      <c r="A10" s="17">
        <v>2</v>
      </c>
      <c r="B10" s="17">
        <v>2</v>
      </c>
      <c r="C10" s="17">
        <v>409</v>
      </c>
      <c r="D10" s="17">
        <v>358</v>
      </c>
      <c r="E10" s="17" t="s">
        <v>43</v>
      </c>
      <c r="F10" s="27" t="s">
        <v>44</v>
      </c>
      <c r="G10" s="17">
        <v>63</v>
      </c>
      <c r="H10" s="17" t="s">
        <v>45</v>
      </c>
      <c r="I10" s="17" t="s">
        <v>46</v>
      </c>
      <c r="J10" s="17">
        <v>7140114</v>
      </c>
      <c r="K10" s="17">
        <v>1</v>
      </c>
      <c r="L10" s="17" t="s">
        <v>36</v>
      </c>
      <c r="M10" s="17">
        <v>1</v>
      </c>
      <c r="N10" s="17">
        <v>1</v>
      </c>
      <c r="O10" s="17" t="s">
        <v>47</v>
      </c>
      <c r="P10" s="17" t="s">
        <v>48</v>
      </c>
      <c r="Q10" s="17"/>
      <c r="R10" s="22">
        <v>1590000</v>
      </c>
      <c r="S10" s="22">
        <f>50%*R10</f>
        <v>795000</v>
      </c>
      <c r="T10" s="22">
        <v>5</v>
      </c>
      <c r="U10" s="22">
        <f t="shared" si="0"/>
        <v>3975000</v>
      </c>
      <c r="V10" s="28" t="s">
        <v>49</v>
      </c>
      <c r="W10" s="29" t="s">
        <v>50</v>
      </c>
      <c r="X10" s="17" t="s">
        <v>51</v>
      </c>
      <c r="Y10" s="17" t="s">
        <v>52</v>
      </c>
    </row>
    <row r="11" spans="1:25" s="26" customFormat="1" ht="29.25" customHeight="1" x14ac:dyDescent="0.25">
      <c r="A11" s="17">
        <v>3</v>
      </c>
      <c r="B11" s="17">
        <v>3</v>
      </c>
      <c r="C11" s="17">
        <v>410</v>
      </c>
      <c r="D11" s="17">
        <v>359</v>
      </c>
      <c r="E11" s="17" t="s">
        <v>53</v>
      </c>
      <c r="F11" s="27" t="s">
        <v>54</v>
      </c>
      <c r="G11" s="17">
        <v>63</v>
      </c>
      <c r="H11" s="17" t="s">
        <v>45</v>
      </c>
      <c r="I11" s="17" t="s">
        <v>46</v>
      </c>
      <c r="J11" s="17">
        <v>7140114</v>
      </c>
      <c r="K11" s="17">
        <v>1</v>
      </c>
      <c r="L11" s="17" t="s">
        <v>36</v>
      </c>
      <c r="M11" s="17">
        <v>1</v>
      </c>
      <c r="N11" s="17">
        <v>1</v>
      </c>
      <c r="O11" s="17" t="s">
        <v>55</v>
      </c>
      <c r="P11" s="17" t="s">
        <v>38</v>
      </c>
      <c r="Q11" s="17"/>
      <c r="R11" s="22">
        <v>1590000</v>
      </c>
      <c r="S11" s="22">
        <f>R11</f>
        <v>1590000</v>
      </c>
      <c r="T11" s="22">
        <v>5</v>
      </c>
      <c r="U11" s="22">
        <f t="shared" si="0"/>
        <v>7950000</v>
      </c>
      <c r="V11" s="28" t="s">
        <v>56</v>
      </c>
      <c r="W11" s="29" t="s">
        <v>57</v>
      </c>
      <c r="X11" s="17" t="s">
        <v>58</v>
      </c>
      <c r="Y11" s="17" t="s">
        <v>52</v>
      </c>
    </row>
    <row r="12" spans="1:25" s="26" customFormat="1" ht="29.25" customHeight="1" x14ac:dyDescent="0.25">
      <c r="A12" s="17">
        <v>4</v>
      </c>
      <c r="B12" s="17">
        <v>4</v>
      </c>
      <c r="C12" s="17">
        <v>735</v>
      </c>
      <c r="D12" s="17">
        <v>683</v>
      </c>
      <c r="E12" s="18" t="s">
        <v>59</v>
      </c>
      <c r="F12" s="19" t="s">
        <v>60</v>
      </c>
      <c r="G12" s="20">
        <v>64</v>
      </c>
      <c r="H12" s="20" t="s">
        <v>61</v>
      </c>
      <c r="I12" s="20" t="s">
        <v>46</v>
      </c>
      <c r="J12" s="20">
        <v>7140114</v>
      </c>
      <c r="K12" s="20">
        <v>1</v>
      </c>
      <c r="L12" s="20" t="s">
        <v>36</v>
      </c>
      <c r="M12" s="17">
        <v>1</v>
      </c>
      <c r="N12" s="20">
        <v>1</v>
      </c>
      <c r="O12" s="20" t="s">
        <v>62</v>
      </c>
      <c r="P12" s="20" t="s">
        <v>38</v>
      </c>
      <c r="Q12" s="20"/>
      <c r="R12" s="21">
        <v>1590000</v>
      </c>
      <c r="S12" s="22">
        <f>R12</f>
        <v>1590000</v>
      </c>
      <c r="T12" s="22">
        <v>5</v>
      </c>
      <c r="U12" s="22">
        <f t="shared" si="0"/>
        <v>7950000</v>
      </c>
      <c r="V12" s="23" t="s">
        <v>63</v>
      </c>
      <c r="W12" s="23" t="s">
        <v>64</v>
      </c>
      <c r="X12" s="23" t="s">
        <v>65</v>
      </c>
      <c r="Y12" s="20" t="s">
        <v>42</v>
      </c>
    </row>
    <row r="13" spans="1:25" s="26" customFormat="1" ht="29.25" customHeight="1" x14ac:dyDescent="0.25">
      <c r="A13" s="17">
        <v>5</v>
      </c>
      <c r="B13" s="17">
        <v>5</v>
      </c>
      <c r="C13" s="17">
        <v>599</v>
      </c>
      <c r="D13" s="17">
        <v>547</v>
      </c>
      <c r="E13" s="30" t="s">
        <v>66</v>
      </c>
      <c r="F13" s="27" t="s">
        <v>67</v>
      </c>
      <c r="G13" s="17">
        <v>65</v>
      </c>
      <c r="H13" s="17" t="s">
        <v>68</v>
      </c>
      <c r="I13" s="17" t="s">
        <v>46</v>
      </c>
      <c r="J13" s="17">
        <v>7140114</v>
      </c>
      <c r="K13" s="17">
        <v>1</v>
      </c>
      <c r="L13" s="17" t="s">
        <v>36</v>
      </c>
      <c r="M13" s="17">
        <v>1</v>
      </c>
      <c r="N13" s="17">
        <v>1</v>
      </c>
      <c r="O13" s="17" t="s">
        <v>62</v>
      </c>
      <c r="P13" s="17" t="s">
        <v>38</v>
      </c>
      <c r="Q13" s="17" t="s">
        <v>69</v>
      </c>
      <c r="R13" s="22">
        <v>1590000</v>
      </c>
      <c r="S13" s="22">
        <f>R13</f>
        <v>1590000</v>
      </c>
      <c r="T13" s="22">
        <v>5</v>
      </c>
      <c r="U13" s="22">
        <f t="shared" si="0"/>
        <v>7950000</v>
      </c>
      <c r="V13" s="30" t="s">
        <v>70</v>
      </c>
      <c r="W13" s="30" t="s">
        <v>71</v>
      </c>
      <c r="X13" s="30" t="s">
        <v>72</v>
      </c>
      <c r="Y13" s="17" t="s">
        <v>42</v>
      </c>
    </row>
    <row r="14" spans="1:25" s="26" customFormat="1" ht="29.25" customHeight="1" x14ac:dyDescent="0.25">
      <c r="A14" s="17">
        <v>6</v>
      </c>
      <c r="B14" s="17">
        <v>6</v>
      </c>
      <c r="C14" s="17">
        <v>600</v>
      </c>
      <c r="D14" s="17">
        <v>548</v>
      </c>
      <c r="E14" s="30" t="s">
        <v>73</v>
      </c>
      <c r="F14" s="27" t="s">
        <v>74</v>
      </c>
      <c r="G14" s="17">
        <v>65</v>
      </c>
      <c r="H14" s="17" t="s">
        <v>68</v>
      </c>
      <c r="I14" s="17" t="s">
        <v>46</v>
      </c>
      <c r="J14" s="17">
        <v>7140114</v>
      </c>
      <c r="K14" s="17">
        <v>1</v>
      </c>
      <c r="L14" s="17" t="s">
        <v>36</v>
      </c>
      <c r="M14" s="17">
        <v>1</v>
      </c>
      <c r="N14" s="17">
        <v>1</v>
      </c>
      <c r="O14" s="17" t="s">
        <v>75</v>
      </c>
      <c r="P14" s="17" t="s">
        <v>76</v>
      </c>
      <c r="Q14" s="17" t="s">
        <v>69</v>
      </c>
      <c r="R14" s="22">
        <v>1590000</v>
      </c>
      <c r="S14" s="22">
        <f>R14*70%</f>
        <v>1113000</v>
      </c>
      <c r="T14" s="22">
        <v>5</v>
      </c>
      <c r="U14" s="22">
        <f t="shared" si="0"/>
        <v>5565000</v>
      </c>
      <c r="V14" s="30" t="s">
        <v>77</v>
      </c>
      <c r="W14" s="30" t="s">
        <v>78</v>
      </c>
      <c r="X14" s="30" t="s">
        <v>79</v>
      </c>
      <c r="Y14" s="17" t="s">
        <v>42</v>
      </c>
    </row>
    <row r="15" spans="1:25" s="26" customFormat="1" ht="29.25" customHeight="1" x14ac:dyDescent="0.25">
      <c r="A15" s="17">
        <v>7</v>
      </c>
      <c r="B15" s="17">
        <v>7</v>
      </c>
      <c r="C15" s="17">
        <v>739</v>
      </c>
      <c r="D15" s="17">
        <v>687</v>
      </c>
      <c r="E15" s="18" t="s">
        <v>80</v>
      </c>
      <c r="F15" s="19" t="s">
        <v>81</v>
      </c>
      <c r="G15" s="20">
        <v>66</v>
      </c>
      <c r="H15" s="20" t="s">
        <v>82</v>
      </c>
      <c r="I15" s="20" t="s">
        <v>46</v>
      </c>
      <c r="J15" s="20">
        <v>7140114</v>
      </c>
      <c r="K15" s="20">
        <v>1</v>
      </c>
      <c r="L15" s="20" t="s">
        <v>36</v>
      </c>
      <c r="M15" s="17">
        <v>1</v>
      </c>
      <c r="N15" s="20">
        <v>1</v>
      </c>
      <c r="O15" s="17" t="s">
        <v>55</v>
      </c>
      <c r="P15" s="20" t="s">
        <v>38</v>
      </c>
      <c r="Q15" s="20"/>
      <c r="R15" s="21">
        <v>1590000</v>
      </c>
      <c r="S15" s="22">
        <f>R15</f>
        <v>1590000</v>
      </c>
      <c r="T15" s="22">
        <v>5</v>
      </c>
      <c r="U15" s="22">
        <f t="shared" si="0"/>
        <v>7950000</v>
      </c>
      <c r="V15" s="31" t="s">
        <v>83</v>
      </c>
      <c r="W15" s="23" t="s">
        <v>84</v>
      </c>
      <c r="X15" s="23" t="s">
        <v>85</v>
      </c>
      <c r="Y15" s="20" t="s">
        <v>42</v>
      </c>
    </row>
    <row r="16" spans="1:25" s="26" customFormat="1" ht="29.25" customHeight="1" x14ac:dyDescent="0.25">
      <c r="A16" s="17">
        <v>8</v>
      </c>
      <c r="B16" s="17">
        <v>8</v>
      </c>
      <c r="C16" s="17">
        <v>734</v>
      </c>
      <c r="D16" s="17">
        <v>682</v>
      </c>
      <c r="E16" s="18" t="s">
        <v>86</v>
      </c>
      <c r="F16" s="19" t="s">
        <v>87</v>
      </c>
      <c r="G16" s="20">
        <v>66</v>
      </c>
      <c r="H16" s="20" t="s">
        <v>82</v>
      </c>
      <c r="I16" s="20" t="s">
        <v>46</v>
      </c>
      <c r="J16" s="20">
        <v>7140114</v>
      </c>
      <c r="K16" s="20">
        <v>1</v>
      </c>
      <c r="L16" s="20" t="s">
        <v>36</v>
      </c>
      <c r="M16" s="17">
        <v>1</v>
      </c>
      <c r="N16" s="20">
        <v>1</v>
      </c>
      <c r="O16" s="20" t="s">
        <v>62</v>
      </c>
      <c r="P16" s="20" t="s">
        <v>38</v>
      </c>
      <c r="Q16" s="20"/>
      <c r="R16" s="21">
        <v>1590000</v>
      </c>
      <c r="S16" s="22">
        <f>R16</f>
        <v>1590000</v>
      </c>
      <c r="T16" s="22">
        <v>5</v>
      </c>
      <c r="U16" s="22">
        <f t="shared" si="0"/>
        <v>7950000</v>
      </c>
      <c r="V16" s="23" t="s">
        <v>88</v>
      </c>
      <c r="W16" s="23" t="s">
        <v>89</v>
      </c>
      <c r="X16" s="23" t="s">
        <v>90</v>
      </c>
      <c r="Y16" s="20" t="s">
        <v>42</v>
      </c>
    </row>
    <row r="17" spans="1:25" s="26" customFormat="1" ht="29.25" customHeight="1" x14ac:dyDescent="0.25">
      <c r="A17" s="17">
        <v>9</v>
      </c>
      <c r="B17" s="17">
        <v>9</v>
      </c>
      <c r="C17" s="17">
        <v>551</v>
      </c>
      <c r="D17" s="17">
        <v>499</v>
      </c>
      <c r="E17" s="32" t="s">
        <v>91</v>
      </c>
      <c r="F17" s="27" t="s">
        <v>92</v>
      </c>
      <c r="G17" s="17">
        <v>63</v>
      </c>
      <c r="H17" s="17" t="s">
        <v>93</v>
      </c>
      <c r="I17" s="17" t="s">
        <v>94</v>
      </c>
      <c r="J17" s="17">
        <v>7140213</v>
      </c>
      <c r="K17" s="17">
        <v>1</v>
      </c>
      <c r="L17" s="17" t="s">
        <v>36</v>
      </c>
      <c r="M17" s="17">
        <v>1</v>
      </c>
      <c r="N17" s="17">
        <v>1</v>
      </c>
      <c r="O17" s="17" t="s">
        <v>47</v>
      </c>
      <c r="P17" s="17" t="s">
        <v>48</v>
      </c>
      <c r="Q17" s="17"/>
      <c r="R17" s="22">
        <v>1590000</v>
      </c>
      <c r="S17" s="22">
        <f>50%*R17</f>
        <v>795000</v>
      </c>
      <c r="T17" s="22">
        <v>5</v>
      </c>
      <c r="U17" s="22">
        <f t="shared" si="0"/>
        <v>3975000</v>
      </c>
      <c r="V17" s="30" t="s">
        <v>95</v>
      </c>
      <c r="W17" s="30" t="s">
        <v>96</v>
      </c>
      <c r="X17" s="32">
        <v>100877348498</v>
      </c>
      <c r="Y17" s="17" t="s">
        <v>52</v>
      </c>
    </row>
    <row r="18" spans="1:25" s="26" customFormat="1" ht="29.25" customHeight="1" x14ac:dyDescent="0.25">
      <c r="A18" s="17">
        <v>10</v>
      </c>
      <c r="B18" s="17">
        <v>10</v>
      </c>
      <c r="C18" s="17">
        <v>535</v>
      </c>
      <c r="D18" s="17">
        <v>483</v>
      </c>
      <c r="E18" s="28" t="s">
        <v>97</v>
      </c>
      <c r="F18" s="27" t="s">
        <v>98</v>
      </c>
      <c r="G18" s="17">
        <v>64</v>
      </c>
      <c r="H18" s="17" t="s">
        <v>34</v>
      </c>
      <c r="I18" s="17" t="s">
        <v>99</v>
      </c>
      <c r="J18" s="17">
        <v>7140209</v>
      </c>
      <c r="K18" s="17">
        <v>1</v>
      </c>
      <c r="L18" s="17" t="s">
        <v>36</v>
      </c>
      <c r="M18" s="17">
        <v>1</v>
      </c>
      <c r="N18" s="17">
        <v>1</v>
      </c>
      <c r="O18" s="17" t="s">
        <v>62</v>
      </c>
      <c r="P18" s="17" t="s">
        <v>38</v>
      </c>
      <c r="Q18" s="17" t="s">
        <v>69</v>
      </c>
      <c r="R18" s="22">
        <v>1590000</v>
      </c>
      <c r="S18" s="22">
        <f t="shared" ref="S18:S24" si="1">R18</f>
        <v>1590000</v>
      </c>
      <c r="T18" s="22">
        <v>5</v>
      </c>
      <c r="U18" s="22">
        <f t="shared" si="0"/>
        <v>7950000</v>
      </c>
      <c r="V18" s="30" t="s">
        <v>100</v>
      </c>
      <c r="W18" s="30" t="s">
        <v>101</v>
      </c>
      <c r="X18" s="30" t="s">
        <v>101</v>
      </c>
      <c r="Y18" s="17" t="s">
        <v>102</v>
      </c>
    </row>
    <row r="19" spans="1:25" s="26" customFormat="1" ht="29.25" customHeight="1" x14ac:dyDescent="0.25">
      <c r="A19" s="17">
        <v>11</v>
      </c>
      <c r="B19" s="17">
        <v>11</v>
      </c>
      <c r="C19" s="17">
        <v>597</v>
      </c>
      <c r="D19" s="17">
        <v>545</v>
      </c>
      <c r="E19" s="30" t="s">
        <v>103</v>
      </c>
      <c r="F19" s="27" t="s">
        <v>104</v>
      </c>
      <c r="G19" s="17">
        <v>65</v>
      </c>
      <c r="H19" s="17" t="s">
        <v>68</v>
      </c>
      <c r="I19" s="17" t="s">
        <v>105</v>
      </c>
      <c r="J19" s="17">
        <v>7310403</v>
      </c>
      <c r="K19" s="17">
        <v>7</v>
      </c>
      <c r="L19" s="17" t="s">
        <v>36</v>
      </c>
      <c r="M19" s="17">
        <v>1</v>
      </c>
      <c r="N19" s="17">
        <v>7</v>
      </c>
      <c r="O19" s="17" t="s">
        <v>55</v>
      </c>
      <c r="P19" s="17" t="s">
        <v>38</v>
      </c>
      <c r="Q19" s="17"/>
      <c r="R19" s="22">
        <v>1565000</v>
      </c>
      <c r="S19" s="22">
        <f t="shared" si="1"/>
        <v>1565000</v>
      </c>
      <c r="T19" s="22">
        <v>5</v>
      </c>
      <c r="U19" s="22">
        <f t="shared" si="0"/>
        <v>7825000</v>
      </c>
      <c r="V19" s="30" t="s">
        <v>106</v>
      </c>
      <c r="W19" s="30" t="s">
        <v>107</v>
      </c>
      <c r="X19" s="30" t="s">
        <v>108</v>
      </c>
      <c r="Y19" s="17" t="s">
        <v>42</v>
      </c>
    </row>
    <row r="20" spans="1:25" s="26" customFormat="1" ht="29.25" customHeight="1" x14ac:dyDescent="0.25">
      <c r="A20" s="17">
        <v>12</v>
      </c>
      <c r="B20" s="17">
        <v>12</v>
      </c>
      <c r="C20" s="17">
        <v>736</v>
      </c>
      <c r="D20" s="17">
        <v>684</v>
      </c>
      <c r="E20" s="18" t="s">
        <v>109</v>
      </c>
      <c r="F20" s="19" t="s">
        <v>110</v>
      </c>
      <c r="G20" s="20">
        <v>66</v>
      </c>
      <c r="H20" s="20" t="s">
        <v>82</v>
      </c>
      <c r="I20" s="20" t="s">
        <v>105</v>
      </c>
      <c r="J20" s="20">
        <v>7310403</v>
      </c>
      <c r="K20" s="20">
        <v>7</v>
      </c>
      <c r="L20" s="20" t="s">
        <v>36</v>
      </c>
      <c r="M20" s="17">
        <v>1</v>
      </c>
      <c r="N20" s="20">
        <v>7</v>
      </c>
      <c r="O20" s="20" t="s">
        <v>62</v>
      </c>
      <c r="P20" s="20" t="s">
        <v>38</v>
      </c>
      <c r="Q20" s="20"/>
      <c r="R20" s="33">
        <v>1565000</v>
      </c>
      <c r="S20" s="22">
        <f t="shared" si="1"/>
        <v>1565000</v>
      </c>
      <c r="T20" s="22">
        <v>5</v>
      </c>
      <c r="U20" s="22">
        <f t="shared" si="0"/>
        <v>7825000</v>
      </c>
      <c r="V20" s="23" t="s">
        <v>111</v>
      </c>
      <c r="W20" s="23" t="s">
        <v>112</v>
      </c>
      <c r="X20" s="23" t="s">
        <v>113</v>
      </c>
      <c r="Y20" s="20" t="s">
        <v>42</v>
      </c>
    </row>
    <row r="21" spans="1:25" s="26" customFormat="1" ht="29.25" customHeight="1" x14ac:dyDescent="0.25">
      <c r="A21" s="17">
        <v>13</v>
      </c>
      <c r="B21" s="17">
        <v>13</v>
      </c>
      <c r="C21" s="17">
        <v>737</v>
      </c>
      <c r="D21" s="17">
        <v>685</v>
      </c>
      <c r="E21" s="18" t="s">
        <v>114</v>
      </c>
      <c r="F21" s="19" t="s">
        <v>115</v>
      </c>
      <c r="G21" s="20">
        <v>66</v>
      </c>
      <c r="H21" s="20" t="s">
        <v>82</v>
      </c>
      <c r="I21" s="20" t="s">
        <v>105</v>
      </c>
      <c r="J21" s="20">
        <v>7310403</v>
      </c>
      <c r="K21" s="20">
        <v>7</v>
      </c>
      <c r="L21" s="20" t="s">
        <v>36</v>
      </c>
      <c r="M21" s="17">
        <v>1</v>
      </c>
      <c r="N21" s="20">
        <v>7</v>
      </c>
      <c r="O21" s="17" t="s">
        <v>116</v>
      </c>
      <c r="P21" s="20" t="s">
        <v>38</v>
      </c>
      <c r="Q21" s="20"/>
      <c r="R21" s="33">
        <v>1565000</v>
      </c>
      <c r="S21" s="22">
        <f t="shared" si="1"/>
        <v>1565000</v>
      </c>
      <c r="T21" s="22">
        <v>5</v>
      </c>
      <c r="U21" s="22">
        <f t="shared" si="0"/>
        <v>7825000</v>
      </c>
      <c r="V21" s="23" t="s">
        <v>117</v>
      </c>
      <c r="W21" s="23" t="s">
        <v>118</v>
      </c>
      <c r="X21" s="23" t="s">
        <v>119</v>
      </c>
      <c r="Y21" s="20" t="s">
        <v>42</v>
      </c>
    </row>
    <row r="22" spans="1:25" s="26" customFormat="1" ht="29.25" customHeight="1" x14ac:dyDescent="0.25">
      <c r="A22" s="17">
        <v>14</v>
      </c>
      <c r="B22" s="17">
        <v>14</v>
      </c>
      <c r="C22" s="17">
        <v>738</v>
      </c>
      <c r="D22" s="17">
        <v>686</v>
      </c>
      <c r="E22" s="18" t="s">
        <v>120</v>
      </c>
      <c r="F22" s="19" t="s">
        <v>121</v>
      </c>
      <c r="G22" s="20">
        <v>66</v>
      </c>
      <c r="H22" s="20" t="s">
        <v>82</v>
      </c>
      <c r="I22" s="20" t="s">
        <v>105</v>
      </c>
      <c r="J22" s="20">
        <v>7310403</v>
      </c>
      <c r="K22" s="20">
        <v>7</v>
      </c>
      <c r="L22" s="20" t="s">
        <v>36</v>
      </c>
      <c r="M22" s="17">
        <v>1</v>
      </c>
      <c r="N22" s="20">
        <v>7</v>
      </c>
      <c r="O22" s="17" t="s">
        <v>55</v>
      </c>
      <c r="P22" s="20" t="s">
        <v>38</v>
      </c>
      <c r="Q22" s="20"/>
      <c r="R22" s="33">
        <v>1565000</v>
      </c>
      <c r="S22" s="22">
        <f t="shared" si="1"/>
        <v>1565000</v>
      </c>
      <c r="T22" s="22">
        <v>5</v>
      </c>
      <c r="U22" s="22">
        <f t="shared" si="0"/>
        <v>7825000</v>
      </c>
      <c r="V22" s="23" t="s">
        <v>122</v>
      </c>
      <c r="W22" s="23" t="s">
        <v>123</v>
      </c>
      <c r="X22" s="23" t="s">
        <v>124</v>
      </c>
      <c r="Y22" s="20" t="s">
        <v>42</v>
      </c>
    </row>
    <row r="23" spans="1:25" s="26" customFormat="1" ht="29.25" customHeight="1" x14ac:dyDescent="0.25">
      <c r="A23" s="17">
        <v>15</v>
      </c>
      <c r="B23" s="17">
        <v>15</v>
      </c>
      <c r="C23" s="17">
        <v>741</v>
      </c>
      <c r="D23" s="17">
        <v>689</v>
      </c>
      <c r="E23" s="18" t="s">
        <v>125</v>
      </c>
      <c r="F23" s="19" t="s">
        <v>126</v>
      </c>
      <c r="G23" s="20">
        <v>66</v>
      </c>
      <c r="H23" s="20" t="s">
        <v>82</v>
      </c>
      <c r="I23" s="20" t="s">
        <v>105</v>
      </c>
      <c r="J23" s="20">
        <v>7310403</v>
      </c>
      <c r="K23" s="20">
        <v>7</v>
      </c>
      <c r="L23" s="20" t="s">
        <v>36</v>
      </c>
      <c r="M23" s="17">
        <v>1</v>
      </c>
      <c r="N23" s="20">
        <v>7</v>
      </c>
      <c r="O23" s="20" t="s">
        <v>62</v>
      </c>
      <c r="P23" s="20" t="s">
        <v>38</v>
      </c>
      <c r="Q23" s="20"/>
      <c r="R23" s="33">
        <v>1565000</v>
      </c>
      <c r="S23" s="22">
        <f t="shared" si="1"/>
        <v>1565000</v>
      </c>
      <c r="T23" s="22">
        <v>5</v>
      </c>
      <c r="U23" s="22">
        <f t="shared" si="0"/>
        <v>7825000</v>
      </c>
      <c r="V23" s="34" t="s">
        <v>127</v>
      </c>
      <c r="W23" s="23" t="s">
        <v>128</v>
      </c>
      <c r="X23" s="23" t="s">
        <v>129</v>
      </c>
      <c r="Y23" s="20" t="s">
        <v>42</v>
      </c>
    </row>
    <row r="24" spans="1:25" s="26" customFormat="1" ht="29.25" customHeight="1" x14ac:dyDescent="0.25">
      <c r="A24" s="17">
        <v>16</v>
      </c>
      <c r="B24" s="17">
        <v>16</v>
      </c>
      <c r="C24" s="17">
        <v>742</v>
      </c>
      <c r="D24" s="17">
        <v>690</v>
      </c>
      <c r="E24" s="18" t="s">
        <v>130</v>
      </c>
      <c r="F24" s="19" t="s">
        <v>131</v>
      </c>
      <c r="G24" s="20">
        <v>66</v>
      </c>
      <c r="H24" s="20" t="s">
        <v>82</v>
      </c>
      <c r="I24" s="20" t="s">
        <v>105</v>
      </c>
      <c r="J24" s="20">
        <v>7310403</v>
      </c>
      <c r="K24" s="20">
        <v>7</v>
      </c>
      <c r="L24" s="20" t="s">
        <v>36</v>
      </c>
      <c r="M24" s="17">
        <v>1</v>
      </c>
      <c r="N24" s="20">
        <v>7</v>
      </c>
      <c r="O24" s="17" t="s">
        <v>116</v>
      </c>
      <c r="P24" s="20" t="s">
        <v>38</v>
      </c>
      <c r="Q24" s="20"/>
      <c r="R24" s="33">
        <v>1565000</v>
      </c>
      <c r="S24" s="22">
        <f t="shared" si="1"/>
        <v>1565000</v>
      </c>
      <c r="T24" s="22">
        <v>5</v>
      </c>
      <c r="U24" s="22">
        <f t="shared" si="0"/>
        <v>7825000</v>
      </c>
      <c r="V24" s="23" t="s">
        <v>132</v>
      </c>
      <c r="W24" s="23" t="s">
        <v>133</v>
      </c>
      <c r="X24" s="23" t="s">
        <v>134</v>
      </c>
      <c r="Y24" s="20" t="s">
        <v>42</v>
      </c>
    </row>
    <row r="25" spans="1:25" s="26" customFormat="1" ht="29.25" customHeight="1" x14ac:dyDescent="0.25">
      <c r="A25" s="17">
        <v>17</v>
      </c>
      <c r="B25" s="17">
        <v>17</v>
      </c>
      <c r="C25" s="17">
        <v>796</v>
      </c>
      <c r="D25" s="17">
        <v>744</v>
      </c>
      <c r="E25" s="30" t="s">
        <v>135</v>
      </c>
      <c r="F25" s="27" t="s">
        <v>136</v>
      </c>
      <c r="G25" s="17">
        <v>66</v>
      </c>
      <c r="H25" s="17" t="s">
        <v>137</v>
      </c>
      <c r="I25" s="20" t="s">
        <v>105</v>
      </c>
      <c r="J25" s="20">
        <v>7310403</v>
      </c>
      <c r="K25" s="20">
        <v>3</v>
      </c>
      <c r="L25" s="20" t="s">
        <v>36</v>
      </c>
      <c r="M25" s="17">
        <v>1</v>
      </c>
      <c r="N25" s="20">
        <v>7</v>
      </c>
      <c r="O25" s="20" t="s">
        <v>75</v>
      </c>
      <c r="P25" s="20" t="s">
        <v>76</v>
      </c>
      <c r="Q25" s="20"/>
      <c r="R25" s="33">
        <v>1565000</v>
      </c>
      <c r="S25" s="22">
        <f>R25*70%</f>
        <v>1095500</v>
      </c>
      <c r="T25" s="22">
        <v>5</v>
      </c>
      <c r="U25" s="22">
        <f t="shared" si="0"/>
        <v>5477500</v>
      </c>
      <c r="V25" s="30" t="s">
        <v>138</v>
      </c>
      <c r="W25" s="23" t="s">
        <v>139</v>
      </c>
      <c r="X25" s="34" t="s">
        <v>140</v>
      </c>
      <c r="Y25" s="20" t="s">
        <v>42</v>
      </c>
    </row>
    <row r="26" spans="1:25" s="26" customFormat="1" ht="29.25" customHeight="1" x14ac:dyDescent="0.25">
      <c r="A26" s="17">
        <v>18</v>
      </c>
      <c r="B26" s="17">
        <v>18</v>
      </c>
      <c r="C26" s="17">
        <v>801</v>
      </c>
      <c r="D26" s="17">
        <v>749</v>
      </c>
      <c r="E26" s="35" t="s">
        <v>141</v>
      </c>
      <c r="F26" s="36" t="s">
        <v>142</v>
      </c>
      <c r="G26" s="37">
        <v>66</v>
      </c>
      <c r="H26" s="37" t="s">
        <v>82</v>
      </c>
      <c r="I26" s="37" t="s">
        <v>105</v>
      </c>
      <c r="J26" s="37"/>
      <c r="K26" s="37">
        <v>7</v>
      </c>
      <c r="L26" s="37" t="s">
        <v>36</v>
      </c>
      <c r="M26" s="17">
        <v>0</v>
      </c>
      <c r="N26" s="37">
        <v>7</v>
      </c>
      <c r="O26" s="37" t="s">
        <v>62</v>
      </c>
      <c r="P26" s="37" t="s">
        <v>38</v>
      </c>
      <c r="Q26" s="37" t="s">
        <v>69</v>
      </c>
      <c r="R26" s="33">
        <v>1565000</v>
      </c>
      <c r="S26" s="22">
        <f>R26</f>
        <v>1565000</v>
      </c>
      <c r="T26" s="22">
        <v>5</v>
      </c>
      <c r="U26" s="22">
        <f t="shared" si="0"/>
        <v>7825000</v>
      </c>
      <c r="V26" s="35" t="s">
        <v>143</v>
      </c>
      <c r="W26" s="35" t="s">
        <v>144</v>
      </c>
      <c r="X26" s="35" t="s">
        <v>145</v>
      </c>
      <c r="Y26" s="37" t="s">
        <v>52</v>
      </c>
    </row>
    <row r="27" spans="1:25" s="26" customFormat="1" ht="29.25" customHeight="1" x14ac:dyDescent="0.25">
      <c r="A27" s="17">
        <v>19</v>
      </c>
      <c r="B27" s="17">
        <v>1</v>
      </c>
      <c r="C27" s="17">
        <v>413</v>
      </c>
      <c r="D27" s="17">
        <v>362</v>
      </c>
      <c r="E27" s="17" t="s">
        <v>146</v>
      </c>
      <c r="F27" s="27" t="s">
        <v>147</v>
      </c>
      <c r="G27" s="17">
        <v>63</v>
      </c>
      <c r="H27" s="17" t="s">
        <v>148</v>
      </c>
      <c r="I27" s="17" t="s">
        <v>149</v>
      </c>
      <c r="J27" s="17">
        <v>7340301</v>
      </c>
      <c r="K27" s="17">
        <v>3</v>
      </c>
      <c r="L27" s="17" t="s">
        <v>150</v>
      </c>
      <c r="M27" s="17">
        <v>2</v>
      </c>
      <c r="N27" s="17">
        <v>3</v>
      </c>
      <c r="O27" s="17" t="s">
        <v>116</v>
      </c>
      <c r="P27" s="17" t="s">
        <v>38</v>
      </c>
      <c r="Q27" s="17"/>
      <c r="R27" s="22">
        <v>1565000</v>
      </c>
      <c r="S27" s="22">
        <f>R27</f>
        <v>1565000</v>
      </c>
      <c r="T27" s="22">
        <v>5</v>
      </c>
      <c r="U27" s="22">
        <f t="shared" si="0"/>
        <v>7825000</v>
      </c>
      <c r="V27" s="17" t="s">
        <v>151</v>
      </c>
      <c r="W27" s="17" t="s">
        <v>152</v>
      </c>
      <c r="X27" s="30" t="s">
        <v>153</v>
      </c>
      <c r="Y27" s="17" t="s">
        <v>42</v>
      </c>
    </row>
    <row r="28" spans="1:25" s="26" customFormat="1" ht="29.25" customHeight="1" x14ac:dyDescent="0.25">
      <c r="A28" s="17">
        <v>20</v>
      </c>
      <c r="B28" s="17">
        <v>2</v>
      </c>
      <c r="C28" s="17">
        <v>414</v>
      </c>
      <c r="D28" s="17">
        <v>363</v>
      </c>
      <c r="E28" s="30" t="s">
        <v>154</v>
      </c>
      <c r="F28" s="27" t="s">
        <v>155</v>
      </c>
      <c r="G28" s="17">
        <v>63</v>
      </c>
      <c r="H28" s="17" t="s">
        <v>156</v>
      </c>
      <c r="I28" s="17" t="s">
        <v>149</v>
      </c>
      <c r="J28" s="17">
        <v>7340301</v>
      </c>
      <c r="K28" s="17">
        <v>3</v>
      </c>
      <c r="L28" s="17" t="s">
        <v>150</v>
      </c>
      <c r="M28" s="17">
        <v>2</v>
      </c>
      <c r="N28" s="17">
        <v>3</v>
      </c>
      <c r="O28" s="17" t="s">
        <v>47</v>
      </c>
      <c r="P28" s="17" t="s">
        <v>48</v>
      </c>
      <c r="Q28" s="17"/>
      <c r="R28" s="22">
        <v>1565000</v>
      </c>
      <c r="S28" s="22">
        <f>50%*R28</f>
        <v>782500</v>
      </c>
      <c r="T28" s="22">
        <v>5</v>
      </c>
      <c r="U28" s="22">
        <f t="shared" si="0"/>
        <v>3912500</v>
      </c>
      <c r="V28" s="17" t="s">
        <v>157</v>
      </c>
      <c r="W28" s="17" t="s">
        <v>158</v>
      </c>
      <c r="X28" s="30" t="s">
        <v>159</v>
      </c>
      <c r="Y28" s="17" t="s">
        <v>42</v>
      </c>
    </row>
    <row r="29" spans="1:25" s="26" customFormat="1" ht="29.25" customHeight="1" x14ac:dyDescent="0.25">
      <c r="A29" s="17">
        <v>21</v>
      </c>
      <c r="B29" s="17">
        <v>3</v>
      </c>
      <c r="C29" s="17">
        <v>415</v>
      </c>
      <c r="D29" s="17">
        <v>364</v>
      </c>
      <c r="E29" s="17" t="s">
        <v>160</v>
      </c>
      <c r="F29" s="27" t="s">
        <v>161</v>
      </c>
      <c r="G29" s="17">
        <v>63</v>
      </c>
      <c r="H29" s="17" t="s">
        <v>148</v>
      </c>
      <c r="I29" s="17" t="s">
        <v>149</v>
      </c>
      <c r="J29" s="17">
        <v>7340301</v>
      </c>
      <c r="K29" s="17">
        <v>3</v>
      </c>
      <c r="L29" s="17" t="s">
        <v>150</v>
      </c>
      <c r="M29" s="17">
        <v>2</v>
      </c>
      <c r="N29" s="17">
        <v>3</v>
      </c>
      <c r="O29" s="17" t="s">
        <v>116</v>
      </c>
      <c r="P29" s="17" t="s">
        <v>38</v>
      </c>
      <c r="Q29" s="17"/>
      <c r="R29" s="22">
        <v>1565000</v>
      </c>
      <c r="S29" s="22">
        <f>R29</f>
        <v>1565000</v>
      </c>
      <c r="T29" s="22">
        <v>5</v>
      </c>
      <c r="U29" s="22">
        <f t="shared" si="0"/>
        <v>7825000</v>
      </c>
      <c r="V29" s="28" t="s">
        <v>162</v>
      </c>
      <c r="W29" s="28" t="s">
        <v>163</v>
      </c>
      <c r="X29" s="32">
        <v>5107069258</v>
      </c>
      <c r="Y29" s="17" t="s">
        <v>42</v>
      </c>
    </row>
    <row r="30" spans="1:25" s="26" customFormat="1" ht="29.25" customHeight="1" x14ac:dyDescent="0.25">
      <c r="A30" s="17">
        <v>22</v>
      </c>
      <c r="B30" s="17">
        <v>4</v>
      </c>
      <c r="C30" s="17">
        <v>416</v>
      </c>
      <c r="D30" s="17">
        <v>365</v>
      </c>
      <c r="E30" s="17" t="s">
        <v>164</v>
      </c>
      <c r="F30" s="27" t="s">
        <v>165</v>
      </c>
      <c r="G30" s="17">
        <v>63</v>
      </c>
      <c r="H30" s="17" t="s">
        <v>156</v>
      </c>
      <c r="I30" s="17" t="s">
        <v>149</v>
      </c>
      <c r="J30" s="17">
        <v>7340301</v>
      </c>
      <c r="K30" s="17">
        <v>3</v>
      </c>
      <c r="L30" s="17" t="s">
        <v>150</v>
      </c>
      <c r="M30" s="17">
        <v>2</v>
      </c>
      <c r="N30" s="17">
        <v>3</v>
      </c>
      <c r="O30" s="17" t="s">
        <v>47</v>
      </c>
      <c r="P30" s="17" t="s">
        <v>48</v>
      </c>
      <c r="Q30" s="17"/>
      <c r="R30" s="22">
        <v>1565000</v>
      </c>
      <c r="S30" s="22">
        <f>50%*R30</f>
        <v>782500</v>
      </c>
      <c r="T30" s="22">
        <v>5</v>
      </c>
      <c r="U30" s="22">
        <f t="shared" si="0"/>
        <v>3912500</v>
      </c>
      <c r="V30" s="17" t="s">
        <v>166</v>
      </c>
      <c r="W30" s="17" t="s">
        <v>167</v>
      </c>
      <c r="X30" s="30" t="s">
        <v>168</v>
      </c>
      <c r="Y30" s="17" t="s">
        <v>42</v>
      </c>
    </row>
    <row r="31" spans="1:25" s="26" customFormat="1" ht="29.25" customHeight="1" x14ac:dyDescent="0.25">
      <c r="A31" s="17">
        <v>23</v>
      </c>
      <c r="B31" s="17">
        <v>5</v>
      </c>
      <c r="C31" s="17">
        <v>418</v>
      </c>
      <c r="D31" s="17">
        <v>367</v>
      </c>
      <c r="E31" s="17" t="s">
        <v>169</v>
      </c>
      <c r="F31" s="27" t="s">
        <v>170</v>
      </c>
      <c r="G31" s="17">
        <v>63</v>
      </c>
      <c r="H31" s="17" t="s">
        <v>171</v>
      </c>
      <c r="I31" s="17" t="s">
        <v>149</v>
      </c>
      <c r="J31" s="17">
        <v>7340301</v>
      </c>
      <c r="K31" s="17">
        <v>3</v>
      </c>
      <c r="L31" s="17" t="s">
        <v>150</v>
      </c>
      <c r="M31" s="17">
        <v>2</v>
      </c>
      <c r="N31" s="17">
        <v>3</v>
      </c>
      <c r="O31" s="17" t="s">
        <v>116</v>
      </c>
      <c r="P31" s="17" t="s">
        <v>38</v>
      </c>
      <c r="Q31" s="17"/>
      <c r="R31" s="22">
        <v>1565000</v>
      </c>
      <c r="S31" s="22">
        <f>R31</f>
        <v>1565000</v>
      </c>
      <c r="T31" s="22">
        <v>5</v>
      </c>
      <c r="U31" s="22">
        <f t="shared" si="0"/>
        <v>7825000</v>
      </c>
      <c r="V31" s="17" t="s">
        <v>172</v>
      </c>
      <c r="W31" s="17" t="s">
        <v>173</v>
      </c>
      <c r="X31" s="30" t="s">
        <v>174</v>
      </c>
      <c r="Y31" s="17" t="s">
        <v>42</v>
      </c>
    </row>
    <row r="32" spans="1:25" s="26" customFormat="1" ht="29.25" customHeight="1" x14ac:dyDescent="0.25">
      <c r="A32" s="17">
        <v>24</v>
      </c>
      <c r="B32" s="17">
        <v>6</v>
      </c>
      <c r="C32" s="17">
        <v>419</v>
      </c>
      <c r="D32" s="17">
        <v>368</v>
      </c>
      <c r="E32" s="17" t="s">
        <v>175</v>
      </c>
      <c r="F32" s="27" t="s">
        <v>176</v>
      </c>
      <c r="G32" s="17">
        <v>63</v>
      </c>
      <c r="H32" s="17" t="s">
        <v>177</v>
      </c>
      <c r="I32" s="17" t="s">
        <v>149</v>
      </c>
      <c r="J32" s="17">
        <v>7340301</v>
      </c>
      <c r="K32" s="17">
        <v>3</v>
      </c>
      <c r="L32" s="17" t="s">
        <v>150</v>
      </c>
      <c r="M32" s="17">
        <v>2</v>
      </c>
      <c r="N32" s="17">
        <v>3</v>
      </c>
      <c r="O32" s="17" t="s">
        <v>116</v>
      </c>
      <c r="P32" s="17" t="s">
        <v>38</v>
      </c>
      <c r="Q32" s="17"/>
      <c r="R32" s="22">
        <v>1565000</v>
      </c>
      <c r="S32" s="22">
        <f>R32</f>
        <v>1565000</v>
      </c>
      <c r="T32" s="22">
        <v>5</v>
      </c>
      <c r="U32" s="22">
        <f t="shared" si="0"/>
        <v>7825000</v>
      </c>
      <c r="V32" s="17" t="s">
        <v>178</v>
      </c>
      <c r="W32" s="17" t="s">
        <v>179</v>
      </c>
      <c r="X32" s="30" t="s">
        <v>180</v>
      </c>
      <c r="Y32" s="17" t="s">
        <v>42</v>
      </c>
    </row>
    <row r="33" spans="1:25" s="26" customFormat="1" ht="29.25" customHeight="1" x14ac:dyDescent="0.25">
      <c r="A33" s="17">
        <v>25</v>
      </c>
      <c r="B33" s="17">
        <v>7</v>
      </c>
      <c r="C33" s="17">
        <v>420</v>
      </c>
      <c r="D33" s="17">
        <v>369</v>
      </c>
      <c r="E33" s="17" t="s">
        <v>181</v>
      </c>
      <c r="F33" s="27" t="s">
        <v>182</v>
      </c>
      <c r="G33" s="17">
        <v>63</v>
      </c>
      <c r="H33" s="17" t="s">
        <v>183</v>
      </c>
      <c r="I33" s="17" t="s">
        <v>149</v>
      </c>
      <c r="J33" s="17">
        <v>7340301</v>
      </c>
      <c r="K33" s="17">
        <v>3</v>
      </c>
      <c r="L33" s="17" t="s">
        <v>150</v>
      </c>
      <c r="M33" s="17">
        <v>2</v>
      </c>
      <c r="N33" s="17">
        <v>3</v>
      </c>
      <c r="O33" s="17" t="s">
        <v>55</v>
      </c>
      <c r="P33" s="17" t="s">
        <v>38</v>
      </c>
      <c r="Q33" s="17"/>
      <c r="R33" s="22">
        <v>1565000</v>
      </c>
      <c r="S33" s="22">
        <f>R33</f>
        <v>1565000</v>
      </c>
      <c r="T33" s="22">
        <v>5</v>
      </c>
      <c r="U33" s="22">
        <f t="shared" si="0"/>
        <v>7825000</v>
      </c>
      <c r="V33" s="17" t="s">
        <v>184</v>
      </c>
      <c r="W33" s="17" t="s">
        <v>185</v>
      </c>
      <c r="X33" s="30" t="s">
        <v>186</v>
      </c>
      <c r="Y33" s="17" t="s">
        <v>42</v>
      </c>
    </row>
    <row r="34" spans="1:25" s="26" customFormat="1" ht="29.25" customHeight="1" x14ac:dyDescent="0.25">
      <c r="A34" s="17">
        <v>26</v>
      </c>
      <c r="B34" s="17">
        <v>8</v>
      </c>
      <c r="C34" s="17">
        <v>421</v>
      </c>
      <c r="D34" s="17">
        <v>370</v>
      </c>
      <c r="E34" s="17" t="s">
        <v>187</v>
      </c>
      <c r="F34" s="27" t="s">
        <v>188</v>
      </c>
      <c r="G34" s="17">
        <v>63</v>
      </c>
      <c r="H34" s="17" t="s">
        <v>156</v>
      </c>
      <c r="I34" s="17" t="s">
        <v>149</v>
      </c>
      <c r="J34" s="17">
        <v>7340301</v>
      </c>
      <c r="K34" s="17">
        <v>3</v>
      </c>
      <c r="L34" s="17" t="s">
        <v>150</v>
      </c>
      <c r="M34" s="17">
        <v>2</v>
      </c>
      <c r="N34" s="17">
        <v>3</v>
      </c>
      <c r="O34" s="17" t="s">
        <v>62</v>
      </c>
      <c r="P34" s="17" t="s">
        <v>38</v>
      </c>
      <c r="Q34" s="17" t="s">
        <v>189</v>
      </c>
      <c r="R34" s="22">
        <v>1565000</v>
      </c>
      <c r="S34" s="22">
        <f>R34</f>
        <v>1565000</v>
      </c>
      <c r="T34" s="22">
        <v>5</v>
      </c>
      <c r="U34" s="22">
        <f t="shared" si="0"/>
        <v>7825000</v>
      </c>
      <c r="V34" s="17" t="s">
        <v>190</v>
      </c>
      <c r="W34" s="17" t="s">
        <v>191</v>
      </c>
      <c r="X34" s="30" t="s">
        <v>192</v>
      </c>
      <c r="Y34" s="17" t="s">
        <v>42</v>
      </c>
    </row>
    <row r="35" spans="1:25" s="26" customFormat="1" ht="29.25" customHeight="1" x14ac:dyDescent="0.25">
      <c r="A35" s="17">
        <v>27</v>
      </c>
      <c r="B35" s="17">
        <v>9</v>
      </c>
      <c r="C35" s="17">
        <v>422</v>
      </c>
      <c r="D35" s="17">
        <v>371</v>
      </c>
      <c r="E35" s="17" t="s">
        <v>193</v>
      </c>
      <c r="F35" s="27" t="s">
        <v>194</v>
      </c>
      <c r="G35" s="17">
        <v>63</v>
      </c>
      <c r="H35" s="17" t="s">
        <v>183</v>
      </c>
      <c r="I35" s="17" t="s">
        <v>149</v>
      </c>
      <c r="J35" s="17">
        <v>7340301</v>
      </c>
      <c r="K35" s="17">
        <v>3</v>
      </c>
      <c r="L35" s="17" t="s">
        <v>150</v>
      </c>
      <c r="M35" s="17">
        <v>2</v>
      </c>
      <c r="N35" s="17">
        <v>3</v>
      </c>
      <c r="O35" s="17" t="s">
        <v>75</v>
      </c>
      <c r="P35" s="17" t="s">
        <v>76</v>
      </c>
      <c r="Q35" s="17" t="s">
        <v>69</v>
      </c>
      <c r="R35" s="22">
        <v>1565000</v>
      </c>
      <c r="S35" s="22">
        <f>R35*70%</f>
        <v>1095500</v>
      </c>
      <c r="T35" s="22">
        <v>5</v>
      </c>
      <c r="U35" s="22">
        <f t="shared" si="0"/>
        <v>5477500</v>
      </c>
      <c r="V35" s="17" t="s">
        <v>195</v>
      </c>
      <c r="W35" s="17" t="s">
        <v>196</v>
      </c>
      <c r="X35" s="30" t="s">
        <v>197</v>
      </c>
      <c r="Y35" s="17" t="s">
        <v>42</v>
      </c>
    </row>
    <row r="36" spans="1:25" s="26" customFormat="1" ht="29.25" customHeight="1" x14ac:dyDescent="0.25">
      <c r="A36" s="17">
        <v>28</v>
      </c>
      <c r="B36" s="17">
        <v>10</v>
      </c>
      <c r="C36" s="17">
        <v>424</v>
      </c>
      <c r="D36" s="17">
        <v>373</v>
      </c>
      <c r="E36" s="17" t="s">
        <v>198</v>
      </c>
      <c r="F36" s="27" t="s">
        <v>199</v>
      </c>
      <c r="G36" s="17">
        <v>63</v>
      </c>
      <c r="H36" s="17" t="s">
        <v>200</v>
      </c>
      <c r="I36" s="17" t="s">
        <v>149</v>
      </c>
      <c r="J36" s="17">
        <v>7340301</v>
      </c>
      <c r="K36" s="17">
        <v>3</v>
      </c>
      <c r="L36" s="17" t="s">
        <v>150</v>
      </c>
      <c r="M36" s="17">
        <v>2</v>
      </c>
      <c r="N36" s="17">
        <v>3</v>
      </c>
      <c r="O36" s="17" t="s">
        <v>75</v>
      </c>
      <c r="P36" s="17" t="s">
        <v>76</v>
      </c>
      <c r="Q36" s="17" t="s">
        <v>69</v>
      </c>
      <c r="R36" s="22">
        <v>1565000</v>
      </c>
      <c r="S36" s="22">
        <f>R36*70%</f>
        <v>1095500</v>
      </c>
      <c r="T36" s="22">
        <v>5</v>
      </c>
      <c r="U36" s="22">
        <f t="shared" si="0"/>
        <v>5477500</v>
      </c>
      <c r="V36" s="17" t="s">
        <v>201</v>
      </c>
      <c r="W36" s="17" t="s">
        <v>202</v>
      </c>
      <c r="X36" s="30" t="s">
        <v>203</v>
      </c>
      <c r="Y36" s="17" t="s">
        <v>42</v>
      </c>
    </row>
    <row r="37" spans="1:25" s="26" customFormat="1" ht="29.25" customHeight="1" x14ac:dyDescent="0.25">
      <c r="A37" s="17">
        <v>29</v>
      </c>
      <c r="B37" s="17">
        <v>11</v>
      </c>
      <c r="C37" s="38">
        <v>664</v>
      </c>
      <c r="D37" s="38">
        <v>612</v>
      </c>
      <c r="E37" s="32" t="s">
        <v>204</v>
      </c>
      <c r="F37" s="39" t="s">
        <v>205</v>
      </c>
      <c r="G37" s="38">
        <v>63</v>
      </c>
      <c r="H37" s="38" t="s">
        <v>183</v>
      </c>
      <c r="I37" s="17" t="s">
        <v>149</v>
      </c>
      <c r="J37" s="17">
        <v>7340301</v>
      </c>
      <c r="K37" s="17">
        <v>3</v>
      </c>
      <c r="L37" s="17" t="s">
        <v>150</v>
      </c>
      <c r="M37" s="38">
        <v>2</v>
      </c>
      <c r="N37" s="17">
        <v>3</v>
      </c>
      <c r="O37" s="38" t="s">
        <v>62</v>
      </c>
      <c r="P37" s="17" t="s">
        <v>38</v>
      </c>
      <c r="Q37" s="38"/>
      <c r="R37" s="22">
        <v>1565000</v>
      </c>
      <c r="S37" s="22">
        <f>R37</f>
        <v>1565000</v>
      </c>
      <c r="T37" s="22">
        <v>5</v>
      </c>
      <c r="U37" s="22">
        <f t="shared" si="0"/>
        <v>7825000</v>
      </c>
      <c r="V37" s="38">
        <v>40304004648</v>
      </c>
      <c r="W37" s="38">
        <v>827622095</v>
      </c>
      <c r="X37" s="38">
        <v>5141089007</v>
      </c>
      <c r="Y37" s="38" t="s">
        <v>42</v>
      </c>
    </row>
    <row r="38" spans="1:25" s="26" customFormat="1" ht="29.25" customHeight="1" x14ac:dyDescent="0.25">
      <c r="A38" s="17">
        <v>30</v>
      </c>
      <c r="B38" s="17">
        <v>12</v>
      </c>
      <c r="C38" s="17">
        <v>774</v>
      </c>
      <c r="D38" s="17">
        <v>722</v>
      </c>
      <c r="E38" s="32" t="s">
        <v>206</v>
      </c>
      <c r="F38" s="27" t="s">
        <v>207</v>
      </c>
      <c r="G38" s="17">
        <v>63</v>
      </c>
      <c r="H38" s="17" t="s">
        <v>156</v>
      </c>
      <c r="I38" s="20" t="s">
        <v>149</v>
      </c>
      <c r="J38" s="20">
        <v>7340301</v>
      </c>
      <c r="K38" s="20">
        <v>3</v>
      </c>
      <c r="L38" s="17" t="s">
        <v>150</v>
      </c>
      <c r="M38" s="17">
        <v>2</v>
      </c>
      <c r="N38" s="20">
        <v>3</v>
      </c>
      <c r="O38" s="17" t="s">
        <v>116</v>
      </c>
      <c r="P38" s="20" t="s">
        <v>38</v>
      </c>
      <c r="Q38" s="17"/>
      <c r="R38" s="33">
        <v>1565000</v>
      </c>
      <c r="S38" s="22">
        <f>R38</f>
        <v>1565000</v>
      </c>
      <c r="T38" s="22">
        <v>5</v>
      </c>
      <c r="U38" s="22">
        <f t="shared" si="0"/>
        <v>7825000</v>
      </c>
      <c r="V38" s="30" t="s">
        <v>208</v>
      </c>
      <c r="W38" s="30" t="s">
        <v>209</v>
      </c>
      <c r="X38" s="30">
        <v>5107208149</v>
      </c>
      <c r="Y38" s="17" t="s">
        <v>42</v>
      </c>
    </row>
    <row r="39" spans="1:25" s="26" customFormat="1" ht="29.25" customHeight="1" x14ac:dyDescent="0.25">
      <c r="A39" s="17">
        <v>31</v>
      </c>
      <c r="B39" s="17">
        <v>13</v>
      </c>
      <c r="C39" s="17">
        <v>647</v>
      </c>
      <c r="D39" s="17">
        <v>595</v>
      </c>
      <c r="E39" s="28" t="s">
        <v>210</v>
      </c>
      <c r="F39" s="27" t="s">
        <v>211</v>
      </c>
      <c r="G39" s="17">
        <v>63</v>
      </c>
      <c r="H39" s="17" t="s">
        <v>212</v>
      </c>
      <c r="I39" s="17" t="s">
        <v>149</v>
      </c>
      <c r="J39" s="17">
        <v>7340301</v>
      </c>
      <c r="K39" s="17">
        <v>3</v>
      </c>
      <c r="L39" s="17" t="s">
        <v>150</v>
      </c>
      <c r="M39" s="17">
        <v>2</v>
      </c>
      <c r="N39" s="17">
        <v>3</v>
      </c>
      <c r="O39" s="17" t="s">
        <v>75</v>
      </c>
      <c r="P39" s="17" t="s">
        <v>76</v>
      </c>
      <c r="Q39" s="17" t="s">
        <v>213</v>
      </c>
      <c r="R39" s="22">
        <v>1565000</v>
      </c>
      <c r="S39" s="22">
        <f>R39*70%</f>
        <v>1095500</v>
      </c>
      <c r="T39" s="22">
        <v>5</v>
      </c>
      <c r="U39" s="22">
        <f t="shared" si="0"/>
        <v>5477500</v>
      </c>
      <c r="V39" s="22" t="s">
        <v>214</v>
      </c>
      <c r="W39" s="30" t="s">
        <v>215</v>
      </c>
      <c r="X39" s="30" t="s">
        <v>216</v>
      </c>
      <c r="Y39" s="17" t="s">
        <v>42</v>
      </c>
    </row>
    <row r="40" spans="1:25" s="26" customFormat="1" ht="29.25" customHeight="1" x14ac:dyDescent="0.25">
      <c r="A40" s="17">
        <v>32</v>
      </c>
      <c r="B40" s="17">
        <v>14</v>
      </c>
      <c r="C40" s="17">
        <v>480</v>
      </c>
      <c r="D40" s="17">
        <v>428</v>
      </c>
      <c r="E40" s="30" t="s">
        <v>217</v>
      </c>
      <c r="F40" s="27" t="s">
        <v>218</v>
      </c>
      <c r="G40" s="17">
        <v>64</v>
      </c>
      <c r="H40" s="17" t="s">
        <v>219</v>
      </c>
      <c r="I40" s="17" t="s">
        <v>149</v>
      </c>
      <c r="J40" s="17">
        <v>7340301</v>
      </c>
      <c r="K40" s="17">
        <v>3</v>
      </c>
      <c r="L40" s="17" t="s">
        <v>150</v>
      </c>
      <c r="M40" s="17">
        <v>2</v>
      </c>
      <c r="N40" s="17">
        <v>3</v>
      </c>
      <c r="O40" s="17" t="s">
        <v>47</v>
      </c>
      <c r="P40" s="17" t="s">
        <v>48</v>
      </c>
      <c r="Q40" s="17"/>
      <c r="R40" s="22">
        <v>1565000</v>
      </c>
      <c r="S40" s="22">
        <f>50%*R40</f>
        <v>782500</v>
      </c>
      <c r="T40" s="22">
        <v>5</v>
      </c>
      <c r="U40" s="22">
        <f t="shared" si="0"/>
        <v>3912500</v>
      </c>
      <c r="V40" s="30" t="s">
        <v>220</v>
      </c>
      <c r="W40" s="30" t="s">
        <v>221</v>
      </c>
      <c r="X40" s="30" t="s">
        <v>221</v>
      </c>
      <c r="Y40" s="17" t="s">
        <v>52</v>
      </c>
    </row>
    <row r="41" spans="1:25" s="26" customFormat="1" ht="29.25" customHeight="1" x14ac:dyDescent="0.25">
      <c r="A41" s="17">
        <v>33</v>
      </c>
      <c r="B41" s="17">
        <v>15</v>
      </c>
      <c r="C41" s="17">
        <v>481</v>
      </c>
      <c r="D41" s="17">
        <v>429</v>
      </c>
      <c r="E41" s="30" t="s">
        <v>222</v>
      </c>
      <c r="F41" s="27" t="s">
        <v>223</v>
      </c>
      <c r="G41" s="17">
        <v>64</v>
      </c>
      <c r="H41" s="17" t="s">
        <v>224</v>
      </c>
      <c r="I41" s="17" t="s">
        <v>149</v>
      </c>
      <c r="J41" s="17">
        <v>7340301</v>
      </c>
      <c r="K41" s="17">
        <v>3</v>
      </c>
      <c r="L41" s="17" t="s">
        <v>150</v>
      </c>
      <c r="M41" s="17">
        <v>2</v>
      </c>
      <c r="N41" s="17">
        <v>3</v>
      </c>
      <c r="O41" s="17" t="s">
        <v>47</v>
      </c>
      <c r="P41" s="17" t="s">
        <v>48</v>
      </c>
      <c r="Q41" s="17"/>
      <c r="R41" s="22">
        <v>1565000</v>
      </c>
      <c r="S41" s="22">
        <f>50%*R41</f>
        <v>782500</v>
      </c>
      <c r="T41" s="22">
        <v>5</v>
      </c>
      <c r="U41" s="22">
        <f t="shared" si="0"/>
        <v>3912500</v>
      </c>
      <c r="V41" s="30" t="s">
        <v>225</v>
      </c>
      <c r="W41" s="30" t="s">
        <v>226</v>
      </c>
      <c r="X41" s="30" t="s">
        <v>227</v>
      </c>
      <c r="Y41" s="17" t="s">
        <v>52</v>
      </c>
    </row>
    <row r="42" spans="1:25" s="26" customFormat="1" ht="29.25" customHeight="1" x14ac:dyDescent="0.25">
      <c r="A42" s="17">
        <v>34</v>
      </c>
      <c r="B42" s="17">
        <v>16</v>
      </c>
      <c r="C42" s="17">
        <v>482</v>
      </c>
      <c r="D42" s="17">
        <v>430</v>
      </c>
      <c r="E42" s="30" t="s">
        <v>228</v>
      </c>
      <c r="F42" s="27" t="s">
        <v>229</v>
      </c>
      <c r="G42" s="17">
        <v>64</v>
      </c>
      <c r="H42" s="17" t="s">
        <v>230</v>
      </c>
      <c r="I42" s="17" t="s">
        <v>149</v>
      </c>
      <c r="J42" s="17">
        <v>7340301</v>
      </c>
      <c r="K42" s="17">
        <v>3</v>
      </c>
      <c r="L42" s="17" t="s">
        <v>150</v>
      </c>
      <c r="M42" s="17">
        <v>2</v>
      </c>
      <c r="N42" s="17">
        <v>3</v>
      </c>
      <c r="O42" s="17" t="s">
        <v>116</v>
      </c>
      <c r="P42" s="17" t="s">
        <v>38</v>
      </c>
      <c r="Q42" s="17"/>
      <c r="R42" s="22">
        <v>1565000</v>
      </c>
      <c r="S42" s="22">
        <f>R42</f>
        <v>1565000</v>
      </c>
      <c r="T42" s="22">
        <v>5</v>
      </c>
      <c r="U42" s="22">
        <f t="shared" si="0"/>
        <v>7825000</v>
      </c>
      <c r="V42" s="30" t="s">
        <v>231</v>
      </c>
      <c r="W42" s="30" t="s">
        <v>232</v>
      </c>
      <c r="X42" s="30" t="s">
        <v>233</v>
      </c>
      <c r="Y42" s="17" t="s">
        <v>52</v>
      </c>
    </row>
    <row r="43" spans="1:25" s="26" customFormat="1" ht="29.25" customHeight="1" x14ac:dyDescent="0.25">
      <c r="A43" s="17">
        <v>35</v>
      </c>
      <c r="B43" s="17">
        <v>17</v>
      </c>
      <c r="C43" s="17">
        <v>484</v>
      </c>
      <c r="D43" s="17">
        <v>432</v>
      </c>
      <c r="E43" s="30" t="s">
        <v>234</v>
      </c>
      <c r="F43" s="27" t="s">
        <v>235</v>
      </c>
      <c r="G43" s="17">
        <v>64</v>
      </c>
      <c r="H43" s="17" t="s">
        <v>236</v>
      </c>
      <c r="I43" s="17" t="s">
        <v>149</v>
      </c>
      <c r="J43" s="17">
        <v>7340301</v>
      </c>
      <c r="K43" s="17">
        <v>3</v>
      </c>
      <c r="L43" s="17" t="s">
        <v>150</v>
      </c>
      <c r="M43" s="17">
        <v>2</v>
      </c>
      <c r="N43" s="17">
        <v>3</v>
      </c>
      <c r="O43" s="17" t="s">
        <v>75</v>
      </c>
      <c r="P43" s="17" t="s">
        <v>76</v>
      </c>
      <c r="Q43" s="17" t="s">
        <v>69</v>
      </c>
      <c r="R43" s="22">
        <v>1565000</v>
      </c>
      <c r="S43" s="22">
        <f>R43*70%</f>
        <v>1095500</v>
      </c>
      <c r="T43" s="22">
        <v>5</v>
      </c>
      <c r="U43" s="22">
        <f t="shared" si="0"/>
        <v>5477500</v>
      </c>
      <c r="V43" s="30" t="s">
        <v>237</v>
      </c>
      <c r="W43" s="30" t="s">
        <v>238</v>
      </c>
      <c r="X43" s="30" t="s">
        <v>239</v>
      </c>
      <c r="Y43" s="17" t="s">
        <v>52</v>
      </c>
    </row>
    <row r="44" spans="1:25" s="26" customFormat="1" ht="29.25" customHeight="1" x14ac:dyDescent="0.25">
      <c r="A44" s="17">
        <v>36</v>
      </c>
      <c r="B44" s="17">
        <v>18</v>
      </c>
      <c r="C44" s="17">
        <v>485</v>
      </c>
      <c r="D44" s="17">
        <v>433</v>
      </c>
      <c r="E44" s="30" t="s">
        <v>240</v>
      </c>
      <c r="F44" s="27" t="s">
        <v>241</v>
      </c>
      <c r="G44" s="17">
        <v>64</v>
      </c>
      <c r="H44" s="17" t="s">
        <v>219</v>
      </c>
      <c r="I44" s="17" t="s">
        <v>149</v>
      </c>
      <c r="J44" s="17">
        <v>7340301</v>
      </c>
      <c r="K44" s="17">
        <v>3</v>
      </c>
      <c r="L44" s="17" t="s">
        <v>150</v>
      </c>
      <c r="M44" s="17">
        <v>2</v>
      </c>
      <c r="N44" s="17">
        <v>3</v>
      </c>
      <c r="O44" s="17" t="s">
        <v>75</v>
      </c>
      <c r="P44" s="17" t="s">
        <v>76</v>
      </c>
      <c r="Q44" s="17" t="s">
        <v>69</v>
      </c>
      <c r="R44" s="22">
        <v>1565000</v>
      </c>
      <c r="S44" s="22">
        <f>R44*70%</f>
        <v>1095500</v>
      </c>
      <c r="T44" s="22">
        <v>5</v>
      </c>
      <c r="U44" s="22">
        <f t="shared" si="0"/>
        <v>5477500</v>
      </c>
      <c r="V44" s="30" t="s">
        <v>242</v>
      </c>
      <c r="W44" s="30" t="s">
        <v>243</v>
      </c>
      <c r="X44" s="30" t="s">
        <v>243</v>
      </c>
      <c r="Y44" s="17" t="s">
        <v>52</v>
      </c>
    </row>
    <row r="45" spans="1:25" s="26" customFormat="1" ht="29.25" customHeight="1" x14ac:dyDescent="0.25">
      <c r="A45" s="17">
        <v>37</v>
      </c>
      <c r="B45" s="17">
        <v>19</v>
      </c>
      <c r="C45" s="17">
        <v>488</v>
      </c>
      <c r="D45" s="17">
        <v>436</v>
      </c>
      <c r="E45" s="30" t="s">
        <v>244</v>
      </c>
      <c r="F45" s="27" t="s">
        <v>245</v>
      </c>
      <c r="G45" s="17">
        <v>64</v>
      </c>
      <c r="H45" s="17" t="s">
        <v>246</v>
      </c>
      <c r="I45" s="17" t="s">
        <v>149</v>
      </c>
      <c r="J45" s="17">
        <v>7340301</v>
      </c>
      <c r="K45" s="17">
        <v>3</v>
      </c>
      <c r="L45" s="17" t="s">
        <v>150</v>
      </c>
      <c r="M45" s="17">
        <v>2</v>
      </c>
      <c r="N45" s="17">
        <v>3</v>
      </c>
      <c r="O45" s="17" t="s">
        <v>62</v>
      </c>
      <c r="P45" s="17" t="s">
        <v>38</v>
      </c>
      <c r="Q45" s="17" t="s">
        <v>69</v>
      </c>
      <c r="R45" s="22">
        <v>1565000</v>
      </c>
      <c r="S45" s="22">
        <f>R45</f>
        <v>1565000</v>
      </c>
      <c r="T45" s="22">
        <v>5</v>
      </c>
      <c r="U45" s="22">
        <f t="shared" si="0"/>
        <v>7825000</v>
      </c>
      <c r="V45" s="30" t="s">
        <v>247</v>
      </c>
      <c r="W45" s="30" t="s">
        <v>248</v>
      </c>
      <c r="X45" s="30" t="s">
        <v>249</v>
      </c>
      <c r="Y45" s="17" t="s">
        <v>52</v>
      </c>
    </row>
    <row r="46" spans="1:25" s="26" customFormat="1" ht="29.25" customHeight="1" x14ac:dyDescent="0.25">
      <c r="A46" s="17">
        <v>38</v>
      </c>
      <c r="B46" s="17">
        <v>20</v>
      </c>
      <c r="C46" s="17">
        <v>489</v>
      </c>
      <c r="D46" s="17">
        <v>437</v>
      </c>
      <c r="E46" s="30" t="s">
        <v>250</v>
      </c>
      <c r="F46" s="27" t="s">
        <v>251</v>
      </c>
      <c r="G46" s="17">
        <v>64</v>
      </c>
      <c r="H46" s="17" t="s">
        <v>230</v>
      </c>
      <c r="I46" s="17" t="s">
        <v>149</v>
      </c>
      <c r="J46" s="17">
        <v>7340301</v>
      </c>
      <c r="K46" s="17">
        <v>3</v>
      </c>
      <c r="L46" s="17" t="s">
        <v>150</v>
      </c>
      <c r="M46" s="17">
        <v>2</v>
      </c>
      <c r="N46" s="17">
        <v>3</v>
      </c>
      <c r="O46" s="17" t="s">
        <v>62</v>
      </c>
      <c r="P46" s="17" t="s">
        <v>38</v>
      </c>
      <c r="Q46" s="17" t="s">
        <v>69</v>
      </c>
      <c r="R46" s="22">
        <v>1565000</v>
      </c>
      <c r="S46" s="22">
        <f>R46</f>
        <v>1565000</v>
      </c>
      <c r="T46" s="22">
        <v>5</v>
      </c>
      <c r="U46" s="22">
        <f t="shared" si="0"/>
        <v>7825000</v>
      </c>
      <c r="V46" s="30" t="s">
        <v>252</v>
      </c>
      <c r="W46" s="30" t="s">
        <v>253</v>
      </c>
      <c r="X46" s="30" t="s">
        <v>254</v>
      </c>
      <c r="Y46" s="17" t="s">
        <v>52</v>
      </c>
    </row>
    <row r="47" spans="1:25" s="26" customFormat="1" ht="29.25" customHeight="1" x14ac:dyDescent="0.25">
      <c r="A47" s="17">
        <v>39</v>
      </c>
      <c r="B47" s="17">
        <v>21</v>
      </c>
      <c r="C47" s="17">
        <v>549</v>
      </c>
      <c r="D47" s="17">
        <v>512</v>
      </c>
      <c r="E47" s="30" t="s">
        <v>255</v>
      </c>
      <c r="F47" s="27" t="s">
        <v>256</v>
      </c>
      <c r="G47" s="17">
        <v>64</v>
      </c>
      <c r="H47" s="17" t="s">
        <v>257</v>
      </c>
      <c r="I47" s="17" t="s">
        <v>149</v>
      </c>
      <c r="J47" s="17">
        <v>7340301</v>
      </c>
      <c r="K47" s="17">
        <v>3</v>
      </c>
      <c r="L47" s="17" t="s">
        <v>150</v>
      </c>
      <c r="M47" s="17">
        <v>2</v>
      </c>
      <c r="N47" s="17">
        <v>3</v>
      </c>
      <c r="O47" s="17" t="s">
        <v>258</v>
      </c>
      <c r="P47" s="17" t="s">
        <v>38</v>
      </c>
      <c r="Q47" s="17"/>
      <c r="R47" s="22">
        <v>1565000</v>
      </c>
      <c r="S47" s="22">
        <f>R47</f>
        <v>1565000</v>
      </c>
      <c r="T47" s="22">
        <v>5</v>
      </c>
      <c r="U47" s="22">
        <f t="shared" si="0"/>
        <v>7825000</v>
      </c>
      <c r="V47" s="30" t="s">
        <v>259</v>
      </c>
      <c r="W47" s="30" t="s">
        <v>260</v>
      </c>
      <c r="X47" s="30" t="s">
        <v>261</v>
      </c>
      <c r="Y47" s="17" t="s">
        <v>52</v>
      </c>
    </row>
    <row r="48" spans="1:25" s="26" customFormat="1" ht="29.25" customHeight="1" x14ac:dyDescent="0.25">
      <c r="A48" s="17">
        <v>40</v>
      </c>
      <c r="B48" s="17">
        <v>22</v>
      </c>
      <c r="C48" s="17">
        <v>648</v>
      </c>
      <c r="D48" s="17">
        <v>596</v>
      </c>
      <c r="E48" s="28" t="s">
        <v>262</v>
      </c>
      <c r="F48" s="27" t="s">
        <v>263</v>
      </c>
      <c r="G48" s="17">
        <v>64</v>
      </c>
      <c r="H48" s="17" t="s">
        <v>219</v>
      </c>
      <c r="I48" s="17" t="s">
        <v>149</v>
      </c>
      <c r="J48" s="17">
        <v>7340301</v>
      </c>
      <c r="K48" s="17">
        <v>3</v>
      </c>
      <c r="L48" s="17" t="s">
        <v>150</v>
      </c>
      <c r="M48" s="17">
        <v>2</v>
      </c>
      <c r="N48" s="17">
        <v>3</v>
      </c>
      <c r="O48" s="17" t="s">
        <v>116</v>
      </c>
      <c r="P48" s="17" t="s">
        <v>38</v>
      </c>
      <c r="Q48" s="17"/>
      <c r="R48" s="22">
        <v>1565000</v>
      </c>
      <c r="S48" s="22">
        <f>R48</f>
        <v>1565000</v>
      </c>
      <c r="T48" s="22">
        <v>5</v>
      </c>
      <c r="U48" s="22">
        <f t="shared" si="0"/>
        <v>7825000</v>
      </c>
      <c r="V48" s="22" t="s">
        <v>264</v>
      </c>
      <c r="W48" s="30" t="s">
        <v>265</v>
      </c>
      <c r="X48" s="30" t="s">
        <v>265</v>
      </c>
      <c r="Y48" s="17" t="s">
        <v>102</v>
      </c>
    </row>
    <row r="49" spans="1:25" s="26" customFormat="1" ht="29.25" customHeight="1" x14ac:dyDescent="0.25">
      <c r="A49" s="17">
        <v>41</v>
      </c>
      <c r="B49" s="17">
        <v>23</v>
      </c>
      <c r="C49" s="17">
        <v>775</v>
      </c>
      <c r="D49" s="17">
        <v>723</v>
      </c>
      <c r="E49" s="32" t="s">
        <v>266</v>
      </c>
      <c r="F49" s="40" t="s">
        <v>267</v>
      </c>
      <c r="G49" s="17">
        <v>65</v>
      </c>
      <c r="H49" s="17" t="s">
        <v>268</v>
      </c>
      <c r="I49" s="20" t="s">
        <v>149</v>
      </c>
      <c r="J49" s="20">
        <v>7340301</v>
      </c>
      <c r="K49" s="20">
        <v>3</v>
      </c>
      <c r="L49" s="17" t="s">
        <v>150</v>
      </c>
      <c r="M49" s="17">
        <v>2</v>
      </c>
      <c r="N49" s="20">
        <v>3</v>
      </c>
      <c r="O49" s="20" t="s">
        <v>75</v>
      </c>
      <c r="P49" s="20" t="s">
        <v>76</v>
      </c>
      <c r="Q49" s="17" t="s">
        <v>69</v>
      </c>
      <c r="R49" s="33">
        <v>1565000</v>
      </c>
      <c r="S49" s="22">
        <f>R49*70%</f>
        <v>1095500</v>
      </c>
      <c r="T49" s="22">
        <v>5</v>
      </c>
      <c r="U49" s="22">
        <f t="shared" si="0"/>
        <v>5477500</v>
      </c>
      <c r="V49" s="41" t="s">
        <v>269</v>
      </c>
      <c r="W49" s="35" t="s">
        <v>270</v>
      </c>
      <c r="X49" s="42">
        <v>106880791471</v>
      </c>
      <c r="Y49" s="17" t="s">
        <v>52</v>
      </c>
    </row>
    <row r="50" spans="1:25" s="26" customFormat="1" ht="29.25" customHeight="1" x14ac:dyDescent="0.25">
      <c r="A50" s="17">
        <v>42</v>
      </c>
      <c r="B50" s="17">
        <v>24</v>
      </c>
      <c r="C50" s="17">
        <v>783</v>
      </c>
      <c r="D50" s="17">
        <v>731</v>
      </c>
      <c r="E50" s="18" t="s">
        <v>271</v>
      </c>
      <c r="F50" s="40" t="s">
        <v>272</v>
      </c>
      <c r="G50" s="17">
        <v>65</v>
      </c>
      <c r="H50" s="17" t="s">
        <v>273</v>
      </c>
      <c r="I50" s="20" t="s">
        <v>149</v>
      </c>
      <c r="J50" s="20">
        <v>7340301</v>
      </c>
      <c r="K50" s="20">
        <v>3</v>
      </c>
      <c r="L50" s="17" t="s">
        <v>150</v>
      </c>
      <c r="M50" s="17">
        <v>2</v>
      </c>
      <c r="N50" s="20">
        <v>3</v>
      </c>
      <c r="O50" s="20" t="s">
        <v>62</v>
      </c>
      <c r="P50" s="20" t="s">
        <v>38</v>
      </c>
      <c r="Q50" s="17" t="s">
        <v>274</v>
      </c>
      <c r="R50" s="33">
        <v>1565000</v>
      </c>
      <c r="S50" s="22">
        <f>R50</f>
        <v>1565000</v>
      </c>
      <c r="T50" s="22">
        <v>5</v>
      </c>
      <c r="U50" s="22">
        <f t="shared" si="0"/>
        <v>7825000</v>
      </c>
      <c r="V50" s="30" t="s">
        <v>275</v>
      </c>
      <c r="W50" s="30" t="s">
        <v>276</v>
      </c>
      <c r="X50" s="17">
        <v>8863712893</v>
      </c>
      <c r="Y50" s="17" t="s">
        <v>42</v>
      </c>
    </row>
    <row r="51" spans="1:25" s="26" customFormat="1" ht="29.25" customHeight="1" x14ac:dyDescent="0.25">
      <c r="A51" s="17">
        <v>43</v>
      </c>
      <c r="B51" s="17">
        <v>25</v>
      </c>
      <c r="C51" s="17">
        <v>649</v>
      </c>
      <c r="D51" s="17">
        <v>597</v>
      </c>
      <c r="E51" s="28" t="s">
        <v>277</v>
      </c>
      <c r="F51" s="27" t="s">
        <v>278</v>
      </c>
      <c r="G51" s="17">
        <v>65</v>
      </c>
      <c r="H51" s="17" t="s">
        <v>279</v>
      </c>
      <c r="I51" s="17" t="s">
        <v>149</v>
      </c>
      <c r="J51" s="17">
        <v>7340301</v>
      </c>
      <c r="K51" s="17">
        <v>3</v>
      </c>
      <c r="L51" s="17" t="s">
        <v>150</v>
      </c>
      <c r="M51" s="17">
        <v>2</v>
      </c>
      <c r="N51" s="17">
        <v>3</v>
      </c>
      <c r="O51" s="17" t="s">
        <v>47</v>
      </c>
      <c r="P51" s="17" t="s">
        <v>48</v>
      </c>
      <c r="Q51" s="17"/>
      <c r="R51" s="22">
        <v>1565000</v>
      </c>
      <c r="S51" s="22">
        <f>50%*R51</f>
        <v>782500</v>
      </c>
      <c r="T51" s="22">
        <v>5</v>
      </c>
      <c r="U51" s="22">
        <f t="shared" si="0"/>
        <v>3912500</v>
      </c>
      <c r="V51" s="22" t="s">
        <v>280</v>
      </c>
      <c r="W51" s="30" t="s">
        <v>281</v>
      </c>
      <c r="X51" s="30" t="s">
        <v>282</v>
      </c>
      <c r="Y51" s="17" t="s">
        <v>52</v>
      </c>
    </row>
    <row r="52" spans="1:25" s="26" customFormat="1" ht="29.25" customHeight="1" x14ac:dyDescent="0.25">
      <c r="A52" s="17">
        <v>44</v>
      </c>
      <c r="B52" s="17">
        <v>26</v>
      </c>
      <c r="C52" s="17">
        <v>650</v>
      </c>
      <c r="D52" s="17">
        <v>598</v>
      </c>
      <c r="E52" s="28" t="s">
        <v>283</v>
      </c>
      <c r="F52" s="27" t="s">
        <v>284</v>
      </c>
      <c r="G52" s="17">
        <v>65</v>
      </c>
      <c r="H52" s="17" t="s">
        <v>273</v>
      </c>
      <c r="I52" s="17" t="s">
        <v>149</v>
      </c>
      <c r="J52" s="17">
        <v>7340301</v>
      </c>
      <c r="K52" s="17">
        <v>3</v>
      </c>
      <c r="L52" s="17" t="s">
        <v>150</v>
      </c>
      <c r="M52" s="17">
        <v>2</v>
      </c>
      <c r="N52" s="17">
        <v>3</v>
      </c>
      <c r="O52" s="17" t="s">
        <v>116</v>
      </c>
      <c r="P52" s="17" t="s">
        <v>38</v>
      </c>
      <c r="Q52" s="17"/>
      <c r="R52" s="22">
        <v>1565000</v>
      </c>
      <c r="S52" s="22">
        <f>R52</f>
        <v>1565000</v>
      </c>
      <c r="T52" s="22">
        <v>5</v>
      </c>
      <c r="U52" s="22">
        <f t="shared" si="0"/>
        <v>7825000</v>
      </c>
      <c r="V52" s="22" t="s">
        <v>285</v>
      </c>
      <c r="W52" s="30" t="s">
        <v>286</v>
      </c>
      <c r="X52" s="30" t="s">
        <v>287</v>
      </c>
      <c r="Y52" s="17" t="s">
        <v>52</v>
      </c>
    </row>
    <row r="53" spans="1:25" s="26" customFormat="1" ht="29.25" customHeight="1" x14ac:dyDescent="0.25">
      <c r="A53" s="17">
        <v>45</v>
      </c>
      <c r="B53" s="17">
        <v>27</v>
      </c>
      <c r="C53" s="17">
        <v>651</v>
      </c>
      <c r="D53" s="17">
        <v>599</v>
      </c>
      <c r="E53" s="28" t="s">
        <v>288</v>
      </c>
      <c r="F53" s="27" t="s">
        <v>289</v>
      </c>
      <c r="G53" s="17">
        <v>65</v>
      </c>
      <c r="H53" s="17" t="s">
        <v>290</v>
      </c>
      <c r="I53" s="17" t="s">
        <v>149</v>
      </c>
      <c r="J53" s="17">
        <v>7340301</v>
      </c>
      <c r="K53" s="17">
        <v>3</v>
      </c>
      <c r="L53" s="17" t="s">
        <v>150</v>
      </c>
      <c r="M53" s="17">
        <v>2</v>
      </c>
      <c r="N53" s="17">
        <v>3</v>
      </c>
      <c r="O53" s="17" t="s">
        <v>75</v>
      </c>
      <c r="P53" s="17" t="s">
        <v>76</v>
      </c>
      <c r="Q53" s="17" t="s">
        <v>69</v>
      </c>
      <c r="R53" s="22">
        <v>1565000</v>
      </c>
      <c r="S53" s="22">
        <f>R53*70%</f>
        <v>1095500</v>
      </c>
      <c r="T53" s="22">
        <v>5</v>
      </c>
      <c r="U53" s="22">
        <f t="shared" si="0"/>
        <v>5477500</v>
      </c>
      <c r="V53" s="22" t="s">
        <v>291</v>
      </c>
      <c r="W53" s="30" t="s">
        <v>292</v>
      </c>
      <c r="X53" s="30" t="s">
        <v>293</v>
      </c>
      <c r="Y53" s="17" t="s">
        <v>52</v>
      </c>
    </row>
    <row r="54" spans="1:25" s="26" customFormat="1" ht="29.25" customHeight="1" x14ac:dyDescent="0.25">
      <c r="A54" s="17">
        <v>46</v>
      </c>
      <c r="B54" s="17">
        <v>28</v>
      </c>
      <c r="C54" s="17">
        <v>652</v>
      </c>
      <c r="D54" s="17">
        <v>600</v>
      </c>
      <c r="E54" s="28" t="s">
        <v>294</v>
      </c>
      <c r="F54" s="27" t="s">
        <v>295</v>
      </c>
      <c r="G54" s="17">
        <v>65</v>
      </c>
      <c r="H54" s="17" t="s">
        <v>290</v>
      </c>
      <c r="I54" s="17" t="s">
        <v>149</v>
      </c>
      <c r="J54" s="17">
        <v>7340301</v>
      </c>
      <c r="K54" s="17">
        <v>3</v>
      </c>
      <c r="L54" s="17" t="s">
        <v>150</v>
      </c>
      <c r="M54" s="17">
        <v>2</v>
      </c>
      <c r="N54" s="17">
        <v>3</v>
      </c>
      <c r="O54" s="17" t="s">
        <v>47</v>
      </c>
      <c r="P54" s="17" t="s">
        <v>48</v>
      </c>
      <c r="Q54" s="17"/>
      <c r="R54" s="22">
        <v>1565000</v>
      </c>
      <c r="S54" s="22">
        <f>50%*R54</f>
        <v>782500</v>
      </c>
      <c r="T54" s="22">
        <v>5</v>
      </c>
      <c r="U54" s="22">
        <f t="shared" si="0"/>
        <v>3912500</v>
      </c>
      <c r="V54" s="22" t="s">
        <v>296</v>
      </c>
      <c r="W54" s="30" t="s">
        <v>297</v>
      </c>
      <c r="X54" s="30" t="s">
        <v>298</v>
      </c>
      <c r="Y54" s="17" t="s">
        <v>52</v>
      </c>
    </row>
    <row r="55" spans="1:25" s="26" customFormat="1" ht="29.25" customHeight="1" x14ac:dyDescent="0.25">
      <c r="A55" s="17">
        <v>47</v>
      </c>
      <c r="B55" s="17">
        <v>29</v>
      </c>
      <c r="C55" s="17">
        <v>695</v>
      </c>
      <c r="D55" s="17">
        <v>643</v>
      </c>
      <c r="E55" s="43" t="s">
        <v>299</v>
      </c>
      <c r="F55" s="19" t="s">
        <v>300</v>
      </c>
      <c r="G55" s="20">
        <v>66</v>
      </c>
      <c r="H55" s="17" t="s">
        <v>301</v>
      </c>
      <c r="I55" s="20" t="s">
        <v>149</v>
      </c>
      <c r="J55" s="20">
        <v>7340301</v>
      </c>
      <c r="K55" s="20">
        <v>3</v>
      </c>
      <c r="L55" s="17" t="s">
        <v>150</v>
      </c>
      <c r="M55" s="17">
        <v>2</v>
      </c>
      <c r="N55" s="20">
        <v>3</v>
      </c>
      <c r="O55" s="17" t="s">
        <v>55</v>
      </c>
      <c r="P55" s="20" t="s">
        <v>38</v>
      </c>
      <c r="Q55" s="20"/>
      <c r="R55" s="33">
        <v>1565000</v>
      </c>
      <c r="S55" s="22">
        <f>R55</f>
        <v>1565000</v>
      </c>
      <c r="T55" s="22">
        <v>5</v>
      </c>
      <c r="U55" s="22">
        <f t="shared" si="0"/>
        <v>7825000</v>
      </c>
      <c r="V55" s="23" t="s">
        <v>302</v>
      </c>
      <c r="W55" s="23" t="s">
        <v>303</v>
      </c>
      <c r="X55" s="44" t="s">
        <v>304</v>
      </c>
      <c r="Y55" s="17" t="s">
        <v>102</v>
      </c>
    </row>
    <row r="56" spans="1:25" s="26" customFormat="1" ht="29.25" customHeight="1" x14ac:dyDescent="0.25">
      <c r="A56" s="17">
        <v>48</v>
      </c>
      <c r="B56" s="17">
        <v>30</v>
      </c>
      <c r="C56" s="17">
        <v>776</v>
      </c>
      <c r="D56" s="17">
        <v>724</v>
      </c>
      <c r="E56" s="20" t="s">
        <v>305</v>
      </c>
      <c r="F56" s="27" t="s">
        <v>306</v>
      </c>
      <c r="G56" s="17">
        <v>66</v>
      </c>
      <c r="H56" s="17" t="s">
        <v>307</v>
      </c>
      <c r="I56" s="20" t="s">
        <v>149</v>
      </c>
      <c r="J56" s="20">
        <v>7340301</v>
      </c>
      <c r="K56" s="20">
        <v>3</v>
      </c>
      <c r="L56" s="17" t="s">
        <v>150</v>
      </c>
      <c r="M56" s="17">
        <v>2</v>
      </c>
      <c r="N56" s="20">
        <v>3</v>
      </c>
      <c r="O56" s="17" t="s">
        <v>116</v>
      </c>
      <c r="P56" s="20" t="s">
        <v>38</v>
      </c>
      <c r="Q56" s="17"/>
      <c r="R56" s="33">
        <v>1565000</v>
      </c>
      <c r="S56" s="22">
        <f>R56</f>
        <v>1565000</v>
      </c>
      <c r="T56" s="22">
        <v>5</v>
      </c>
      <c r="U56" s="22">
        <f t="shared" si="0"/>
        <v>7825000</v>
      </c>
      <c r="V56" s="41" t="s">
        <v>308</v>
      </c>
      <c r="W56" s="41" t="s">
        <v>309</v>
      </c>
      <c r="X56" s="45">
        <v>1052908162</v>
      </c>
      <c r="Y56" s="17" t="s">
        <v>310</v>
      </c>
    </row>
    <row r="57" spans="1:25" s="26" customFormat="1" ht="29.25" customHeight="1" x14ac:dyDescent="0.25">
      <c r="A57" s="17">
        <v>49</v>
      </c>
      <c r="B57" s="17">
        <v>31</v>
      </c>
      <c r="C57" s="17">
        <v>777</v>
      </c>
      <c r="D57" s="17">
        <v>725</v>
      </c>
      <c r="E57" s="20" t="s">
        <v>311</v>
      </c>
      <c r="F57" s="27" t="s">
        <v>312</v>
      </c>
      <c r="G57" s="17">
        <v>66</v>
      </c>
      <c r="H57" s="17" t="s">
        <v>307</v>
      </c>
      <c r="I57" s="20" t="s">
        <v>149</v>
      </c>
      <c r="J57" s="20">
        <v>7340301</v>
      </c>
      <c r="K57" s="20">
        <v>3</v>
      </c>
      <c r="L57" s="17" t="s">
        <v>150</v>
      </c>
      <c r="M57" s="17">
        <v>2</v>
      </c>
      <c r="N57" s="20">
        <v>3</v>
      </c>
      <c r="O57" s="20" t="s">
        <v>62</v>
      </c>
      <c r="P57" s="20" t="s">
        <v>38</v>
      </c>
      <c r="Q57" s="17" t="s">
        <v>69</v>
      </c>
      <c r="R57" s="33">
        <v>1565000</v>
      </c>
      <c r="S57" s="22">
        <f>R57</f>
        <v>1565000</v>
      </c>
      <c r="T57" s="22">
        <v>5</v>
      </c>
      <c r="U57" s="22">
        <f t="shared" si="0"/>
        <v>7825000</v>
      </c>
      <c r="V57" s="41" t="s">
        <v>313</v>
      </c>
      <c r="W57" s="41" t="s">
        <v>314</v>
      </c>
      <c r="X57" s="17">
        <v>5141149248</v>
      </c>
      <c r="Y57" s="17" t="s">
        <v>42</v>
      </c>
    </row>
    <row r="58" spans="1:25" s="26" customFormat="1" ht="29.25" customHeight="1" x14ac:dyDescent="0.25">
      <c r="A58" s="17">
        <v>50</v>
      </c>
      <c r="B58" s="17">
        <v>32</v>
      </c>
      <c r="C58" s="17">
        <v>778</v>
      </c>
      <c r="D58" s="17">
        <v>726</v>
      </c>
      <c r="E58" s="20" t="s">
        <v>315</v>
      </c>
      <c r="F58" s="27" t="s">
        <v>316</v>
      </c>
      <c r="G58" s="17">
        <v>66</v>
      </c>
      <c r="H58" s="17" t="s">
        <v>317</v>
      </c>
      <c r="I58" s="20" t="s">
        <v>149</v>
      </c>
      <c r="J58" s="20">
        <v>7340301</v>
      </c>
      <c r="K58" s="20">
        <v>3</v>
      </c>
      <c r="L58" s="17" t="s">
        <v>150</v>
      </c>
      <c r="M58" s="17">
        <v>2</v>
      </c>
      <c r="N58" s="20">
        <v>3</v>
      </c>
      <c r="O58" s="17" t="s">
        <v>47</v>
      </c>
      <c r="P58" s="17" t="s">
        <v>48</v>
      </c>
      <c r="Q58" s="17"/>
      <c r="R58" s="33">
        <v>1565000</v>
      </c>
      <c r="S58" s="22">
        <f>50%*R58</f>
        <v>782500</v>
      </c>
      <c r="T58" s="22">
        <v>5</v>
      </c>
      <c r="U58" s="22">
        <f t="shared" si="0"/>
        <v>3912500</v>
      </c>
      <c r="V58" s="41" t="s">
        <v>318</v>
      </c>
      <c r="W58" s="45" t="s">
        <v>319</v>
      </c>
      <c r="X58" s="45">
        <v>8856236286</v>
      </c>
      <c r="Y58" s="17" t="s">
        <v>42</v>
      </c>
    </row>
    <row r="59" spans="1:25" s="26" customFormat="1" ht="29.25" customHeight="1" x14ac:dyDescent="0.25">
      <c r="A59" s="17">
        <v>51</v>
      </c>
      <c r="B59" s="17">
        <v>33</v>
      </c>
      <c r="C59" s="17">
        <v>779</v>
      </c>
      <c r="D59" s="17">
        <v>727</v>
      </c>
      <c r="E59" s="20" t="s">
        <v>320</v>
      </c>
      <c r="F59" s="27" t="s">
        <v>321</v>
      </c>
      <c r="G59" s="17">
        <v>66</v>
      </c>
      <c r="H59" s="17" t="s">
        <v>301</v>
      </c>
      <c r="I59" s="20" t="s">
        <v>149</v>
      </c>
      <c r="J59" s="20">
        <v>7340301</v>
      </c>
      <c r="K59" s="20">
        <v>3</v>
      </c>
      <c r="L59" s="17" t="s">
        <v>150</v>
      </c>
      <c r="M59" s="17">
        <v>2</v>
      </c>
      <c r="N59" s="20">
        <v>3</v>
      </c>
      <c r="O59" s="20" t="s">
        <v>62</v>
      </c>
      <c r="P59" s="20" t="s">
        <v>38</v>
      </c>
      <c r="Q59" s="17" t="s">
        <v>189</v>
      </c>
      <c r="R59" s="33">
        <v>1565000</v>
      </c>
      <c r="S59" s="22">
        <f>R59</f>
        <v>1565000</v>
      </c>
      <c r="T59" s="22">
        <v>5</v>
      </c>
      <c r="U59" s="22">
        <f t="shared" si="0"/>
        <v>7825000</v>
      </c>
      <c r="V59" s="30" t="s">
        <v>322</v>
      </c>
      <c r="W59" s="30" t="s">
        <v>323</v>
      </c>
      <c r="X59" s="45">
        <v>8876134311</v>
      </c>
      <c r="Y59" s="17" t="s">
        <v>42</v>
      </c>
    </row>
    <row r="60" spans="1:25" s="26" customFormat="1" ht="29.25" customHeight="1" x14ac:dyDescent="0.25">
      <c r="A60" s="17">
        <v>52</v>
      </c>
      <c r="B60" s="17">
        <v>34</v>
      </c>
      <c r="C60" s="17">
        <v>780</v>
      </c>
      <c r="D60" s="17">
        <v>728</v>
      </c>
      <c r="E60" s="20" t="s">
        <v>324</v>
      </c>
      <c r="F60" s="27" t="s">
        <v>325</v>
      </c>
      <c r="G60" s="17">
        <v>66</v>
      </c>
      <c r="H60" s="17" t="s">
        <v>301</v>
      </c>
      <c r="I60" s="20" t="s">
        <v>149</v>
      </c>
      <c r="J60" s="20">
        <v>7340301</v>
      </c>
      <c r="K60" s="20">
        <v>3</v>
      </c>
      <c r="L60" s="17" t="s">
        <v>150</v>
      </c>
      <c r="M60" s="17">
        <v>2</v>
      </c>
      <c r="N60" s="20">
        <v>3</v>
      </c>
      <c r="O60" s="20" t="s">
        <v>62</v>
      </c>
      <c r="P60" s="20" t="s">
        <v>38</v>
      </c>
      <c r="Q60" s="17" t="s">
        <v>69</v>
      </c>
      <c r="R60" s="33">
        <v>1565000</v>
      </c>
      <c r="S60" s="22">
        <f>R60</f>
        <v>1565000</v>
      </c>
      <c r="T60" s="22">
        <v>5</v>
      </c>
      <c r="U60" s="22">
        <f t="shared" si="0"/>
        <v>7825000</v>
      </c>
      <c r="V60" s="46" t="s">
        <v>326</v>
      </c>
      <c r="W60" s="41" t="s">
        <v>327</v>
      </c>
      <c r="X60" s="45">
        <v>5141130349</v>
      </c>
      <c r="Y60" s="17" t="s">
        <v>42</v>
      </c>
    </row>
    <row r="61" spans="1:25" s="26" customFormat="1" ht="29.25" customHeight="1" x14ac:dyDescent="0.25">
      <c r="A61" s="17">
        <v>53</v>
      </c>
      <c r="B61" s="17">
        <v>35</v>
      </c>
      <c r="C61" s="17">
        <v>781</v>
      </c>
      <c r="D61" s="17">
        <v>729</v>
      </c>
      <c r="E61" s="20" t="s">
        <v>328</v>
      </c>
      <c r="F61" s="27" t="s">
        <v>329</v>
      </c>
      <c r="G61" s="17">
        <v>66</v>
      </c>
      <c r="H61" s="17" t="s">
        <v>301</v>
      </c>
      <c r="I61" s="20" t="s">
        <v>149</v>
      </c>
      <c r="J61" s="20">
        <v>7340301</v>
      </c>
      <c r="K61" s="20">
        <v>3</v>
      </c>
      <c r="L61" s="17" t="s">
        <v>150</v>
      </c>
      <c r="M61" s="17">
        <v>2</v>
      </c>
      <c r="N61" s="20">
        <v>3</v>
      </c>
      <c r="O61" s="20" t="s">
        <v>75</v>
      </c>
      <c r="P61" s="20" t="s">
        <v>76</v>
      </c>
      <c r="Q61" s="17" t="s">
        <v>69</v>
      </c>
      <c r="R61" s="33">
        <v>1565000</v>
      </c>
      <c r="S61" s="22">
        <f>R61*70%</f>
        <v>1095500</v>
      </c>
      <c r="T61" s="22">
        <v>5</v>
      </c>
      <c r="U61" s="22">
        <f t="shared" si="0"/>
        <v>5477500</v>
      </c>
      <c r="V61" s="30" t="s">
        <v>330</v>
      </c>
      <c r="W61" s="30" t="s">
        <v>331</v>
      </c>
      <c r="X61" s="30" t="s">
        <v>332</v>
      </c>
      <c r="Y61" s="17" t="s">
        <v>102</v>
      </c>
    </row>
    <row r="62" spans="1:25" s="26" customFormat="1" ht="29.25" customHeight="1" x14ac:dyDescent="0.25">
      <c r="A62" s="17">
        <v>54</v>
      </c>
      <c r="B62" s="17">
        <v>36</v>
      </c>
      <c r="C62" s="17">
        <v>782</v>
      </c>
      <c r="D62" s="17">
        <v>730</v>
      </c>
      <c r="E62" s="23" t="s">
        <v>333</v>
      </c>
      <c r="F62" s="40" t="s">
        <v>334</v>
      </c>
      <c r="G62" s="17">
        <v>66</v>
      </c>
      <c r="H62" s="17" t="s">
        <v>335</v>
      </c>
      <c r="I62" s="20" t="s">
        <v>149</v>
      </c>
      <c r="J62" s="20">
        <v>7340301</v>
      </c>
      <c r="K62" s="20">
        <v>3</v>
      </c>
      <c r="L62" s="17" t="s">
        <v>150</v>
      </c>
      <c r="M62" s="17">
        <v>2</v>
      </c>
      <c r="N62" s="20">
        <v>3</v>
      </c>
      <c r="O62" s="17" t="s">
        <v>55</v>
      </c>
      <c r="P62" s="20" t="s">
        <v>38</v>
      </c>
      <c r="Q62" s="17"/>
      <c r="R62" s="33">
        <v>1565000</v>
      </c>
      <c r="S62" s="22">
        <f>R62</f>
        <v>1565000</v>
      </c>
      <c r="T62" s="22">
        <v>5</v>
      </c>
      <c r="U62" s="22">
        <f t="shared" si="0"/>
        <v>7825000</v>
      </c>
      <c r="V62" s="30" t="s">
        <v>336</v>
      </c>
      <c r="W62" s="41" t="s">
        <v>337</v>
      </c>
      <c r="X62" s="45">
        <v>1402070106</v>
      </c>
      <c r="Y62" s="17" t="s">
        <v>102</v>
      </c>
    </row>
    <row r="63" spans="1:25" s="26" customFormat="1" ht="29.25" customHeight="1" x14ac:dyDescent="0.25">
      <c r="A63" s="17">
        <v>55</v>
      </c>
      <c r="B63" s="17">
        <v>37</v>
      </c>
      <c r="C63" s="17">
        <v>447</v>
      </c>
      <c r="D63" s="17">
        <v>396</v>
      </c>
      <c r="E63" s="30" t="s">
        <v>338</v>
      </c>
      <c r="F63" s="27" t="s">
        <v>339</v>
      </c>
      <c r="G63" s="17">
        <v>63</v>
      </c>
      <c r="H63" s="17" t="s">
        <v>148</v>
      </c>
      <c r="I63" s="17" t="s">
        <v>340</v>
      </c>
      <c r="J63" s="17">
        <v>7310101</v>
      </c>
      <c r="K63" s="17">
        <v>7</v>
      </c>
      <c r="L63" s="17" t="s">
        <v>150</v>
      </c>
      <c r="M63" s="17">
        <v>2</v>
      </c>
      <c r="N63" s="17">
        <v>7</v>
      </c>
      <c r="O63" s="17" t="s">
        <v>116</v>
      </c>
      <c r="P63" s="17" t="s">
        <v>38</v>
      </c>
      <c r="Q63" s="17"/>
      <c r="R63" s="22">
        <v>1565000</v>
      </c>
      <c r="S63" s="22">
        <f>R63</f>
        <v>1565000</v>
      </c>
      <c r="T63" s="22">
        <v>5</v>
      </c>
      <c r="U63" s="22">
        <f t="shared" si="0"/>
        <v>7825000</v>
      </c>
      <c r="V63" s="47" t="s">
        <v>341</v>
      </c>
      <c r="W63" s="30" t="s">
        <v>342</v>
      </c>
      <c r="X63" s="30" t="s">
        <v>343</v>
      </c>
      <c r="Y63" s="17" t="s">
        <v>310</v>
      </c>
    </row>
    <row r="64" spans="1:25" s="26" customFormat="1" ht="29.25" customHeight="1" x14ac:dyDescent="0.25">
      <c r="A64" s="17">
        <v>56</v>
      </c>
      <c r="B64" s="17">
        <v>38</v>
      </c>
      <c r="C64" s="17">
        <v>542</v>
      </c>
      <c r="D64" s="17">
        <v>490</v>
      </c>
      <c r="E64" s="30" t="s">
        <v>344</v>
      </c>
      <c r="F64" s="27" t="s">
        <v>345</v>
      </c>
      <c r="G64" s="17">
        <v>63</v>
      </c>
      <c r="H64" s="17" t="s">
        <v>148</v>
      </c>
      <c r="I64" s="17" t="s">
        <v>340</v>
      </c>
      <c r="J64" s="17">
        <v>7310101</v>
      </c>
      <c r="K64" s="17">
        <v>7</v>
      </c>
      <c r="L64" s="17" t="s">
        <v>150</v>
      </c>
      <c r="M64" s="17">
        <v>2</v>
      </c>
      <c r="N64" s="17">
        <v>7</v>
      </c>
      <c r="O64" s="17" t="s">
        <v>116</v>
      </c>
      <c r="P64" s="17" t="s">
        <v>38</v>
      </c>
      <c r="Q64" s="17"/>
      <c r="R64" s="22">
        <v>1565000</v>
      </c>
      <c r="S64" s="22">
        <f>R64</f>
        <v>1565000</v>
      </c>
      <c r="T64" s="22">
        <v>5</v>
      </c>
      <c r="U64" s="22">
        <f t="shared" si="0"/>
        <v>7825000</v>
      </c>
      <c r="V64" s="30" t="s">
        <v>346</v>
      </c>
      <c r="W64" s="30" t="s">
        <v>347</v>
      </c>
      <c r="X64" s="30" t="s">
        <v>348</v>
      </c>
      <c r="Y64" s="17" t="s">
        <v>349</v>
      </c>
    </row>
    <row r="65" spans="1:25" s="26" customFormat="1" ht="29.25" customHeight="1" x14ac:dyDescent="0.25">
      <c r="A65" s="17">
        <v>57</v>
      </c>
      <c r="B65" s="17">
        <v>39</v>
      </c>
      <c r="C65" s="38">
        <v>683</v>
      </c>
      <c r="D65" s="38">
        <v>631</v>
      </c>
      <c r="E65" s="30" t="s">
        <v>350</v>
      </c>
      <c r="F65" s="27" t="s">
        <v>351</v>
      </c>
      <c r="G65" s="17">
        <v>64</v>
      </c>
      <c r="H65" s="17" t="s">
        <v>230</v>
      </c>
      <c r="I65" s="17" t="s">
        <v>340</v>
      </c>
      <c r="J65" s="17">
        <v>7310101</v>
      </c>
      <c r="K65" s="17">
        <v>7</v>
      </c>
      <c r="L65" s="17" t="s">
        <v>150</v>
      </c>
      <c r="M65" s="17">
        <v>2</v>
      </c>
      <c r="N65" s="17">
        <v>7</v>
      </c>
      <c r="O65" s="17" t="s">
        <v>55</v>
      </c>
      <c r="P65" s="17" t="s">
        <v>38</v>
      </c>
      <c r="Q65" s="17"/>
      <c r="R65" s="22">
        <v>1565000</v>
      </c>
      <c r="S65" s="22">
        <f>R65</f>
        <v>1565000</v>
      </c>
      <c r="T65" s="22">
        <v>5</v>
      </c>
      <c r="U65" s="22">
        <f t="shared" si="0"/>
        <v>7825000</v>
      </c>
      <c r="V65" s="30" t="s">
        <v>352</v>
      </c>
      <c r="W65" s="30" t="s">
        <v>353</v>
      </c>
      <c r="X65" s="30" t="s">
        <v>354</v>
      </c>
      <c r="Y65" s="17" t="s">
        <v>42</v>
      </c>
    </row>
    <row r="66" spans="1:25" s="26" customFormat="1" ht="29.25" customHeight="1" x14ac:dyDescent="0.25">
      <c r="A66" s="17">
        <v>58</v>
      </c>
      <c r="B66" s="17">
        <v>40</v>
      </c>
      <c r="C66" s="17">
        <v>784</v>
      </c>
      <c r="D66" s="17">
        <v>732</v>
      </c>
      <c r="E66" s="30" t="s">
        <v>355</v>
      </c>
      <c r="F66" s="27" t="s">
        <v>356</v>
      </c>
      <c r="G66" s="17">
        <v>66</v>
      </c>
      <c r="H66" s="17" t="s">
        <v>357</v>
      </c>
      <c r="I66" s="20" t="s">
        <v>340</v>
      </c>
      <c r="J66" s="20">
        <v>7310101</v>
      </c>
      <c r="K66" s="20">
        <v>7</v>
      </c>
      <c r="L66" s="17" t="s">
        <v>150</v>
      </c>
      <c r="M66" s="17">
        <v>2</v>
      </c>
      <c r="N66" s="20">
        <v>7</v>
      </c>
      <c r="O66" s="17" t="s">
        <v>47</v>
      </c>
      <c r="P66" s="17" t="s">
        <v>48</v>
      </c>
      <c r="Q66" s="17"/>
      <c r="R66" s="33">
        <v>1565000</v>
      </c>
      <c r="S66" s="22">
        <f>50%*R66</f>
        <v>782500</v>
      </c>
      <c r="T66" s="22">
        <v>5</v>
      </c>
      <c r="U66" s="22">
        <f t="shared" si="0"/>
        <v>3912500</v>
      </c>
      <c r="V66" s="30"/>
      <c r="W66" s="30" t="s">
        <v>358</v>
      </c>
      <c r="X66" s="30" t="s">
        <v>359</v>
      </c>
      <c r="Y66" s="17" t="s">
        <v>42</v>
      </c>
    </row>
    <row r="67" spans="1:25" s="26" customFormat="1" ht="29.25" customHeight="1" x14ac:dyDescent="0.25">
      <c r="A67" s="17">
        <v>59</v>
      </c>
      <c r="B67" s="17">
        <v>41</v>
      </c>
      <c r="C67" s="17">
        <v>785</v>
      </c>
      <c r="D67" s="17">
        <v>733</v>
      </c>
      <c r="E67" s="30" t="s">
        <v>360</v>
      </c>
      <c r="F67" s="27" t="s">
        <v>361</v>
      </c>
      <c r="G67" s="17">
        <v>66</v>
      </c>
      <c r="H67" s="17" t="s">
        <v>357</v>
      </c>
      <c r="I67" s="20" t="s">
        <v>340</v>
      </c>
      <c r="J67" s="20">
        <v>7310101</v>
      </c>
      <c r="K67" s="20">
        <v>7</v>
      </c>
      <c r="L67" s="17" t="s">
        <v>150</v>
      </c>
      <c r="M67" s="17">
        <v>2</v>
      </c>
      <c r="N67" s="20">
        <v>7</v>
      </c>
      <c r="O67" s="17" t="s">
        <v>47</v>
      </c>
      <c r="P67" s="17" t="s">
        <v>48</v>
      </c>
      <c r="Q67" s="17"/>
      <c r="R67" s="33">
        <v>1565000</v>
      </c>
      <c r="S67" s="22">
        <f>50%*R67</f>
        <v>782500</v>
      </c>
      <c r="T67" s="22">
        <v>5</v>
      </c>
      <c r="U67" s="22">
        <f t="shared" si="0"/>
        <v>3912500</v>
      </c>
      <c r="V67" s="17"/>
      <c r="W67" s="30" t="s">
        <v>362</v>
      </c>
      <c r="X67" s="30" t="s">
        <v>363</v>
      </c>
      <c r="Y67" s="17" t="s">
        <v>310</v>
      </c>
    </row>
    <row r="68" spans="1:25" s="26" customFormat="1" ht="29.25" customHeight="1" x14ac:dyDescent="0.25">
      <c r="A68" s="17">
        <v>60</v>
      </c>
      <c r="B68" s="17">
        <v>42</v>
      </c>
      <c r="C68" s="17">
        <v>786</v>
      </c>
      <c r="D68" s="17">
        <v>734</v>
      </c>
      <c r="E68" s="30" t="s">
        <v>364</v>
      </c>
      <c r="F68" s="27" t="s">
        <v>241</v>
      </c>
      <c r="G68" s="17">
        <v>66</v>
      </c>
      <c r="H68" s="17" t="s">
        <v>357</v>
      </c>
      <c r="I68" s="20" t="s">
        <v>340</v>
      </c>
      <c r="J68" s="20">
        <v>7310101</v>
      </c>
      <c r="K68" s="20">
        <v>7</v>
      </c>
      <c r="L68" s="17" t="s">
        <v>150</v>
      </c>
      <c r="M68" s="17">
        <v>2</v>
      </c>
      <c r="N68" s="20">
        <v>7</v>
      </c>
      <c r="O68" s="20" t="s">
        <v>75</v>
      </c>
      <c r="P68" s="20" t="s">
        <v>76</v>
      </c>
      <c r="Q68" s="17"/>
      <c r="R68" s="33">
        <v>1565000</v>
      </c>
      <c r="S68" s="22">
        <f>R68*70%</f>
        <v>1095500</v>
      </c>
      <c r="T68" s="22">
        <v>5</v>
      </c>
      <c r="U68" s="22">
        <f t="shared" si="0"/>
        <v>5477500</v>
      </c>
      <c r="V68" s="30"/>
      <c r="W68" s="30" t="s">
        <v>365</v>
      </c>
      <c r="X68" s="30" t="s">
        <v>365</v>
      </c>
      <c r="Y68" s="17" t="s">
        <v>102</v>
      </c>
    </row>
    <row r="69" spans="1:25" s="26" customFormat="1" ht="29.25" customHeight="1" x14ac:dyDescent="0.25">
      <c r="A69" s="17">
        <v>61</v>
      </c>
      <c r="B69" s="17">
        <v>43</v>
      </c>
      <c r="C69" s="17">
        <v>787</v>
      </c>
      <c r="D69" s="17">
        <v>735</v>
      </c>
      <c r="E69" s="30" t="s">
        <v>366</v>
      </c>
      <c r="F69" s="27" t="s">
        <v>367</v>
      </c>
      <c r="G69" s="17">
        <v>66</v>
      </c>
      <c r="H69" s="17" t="s">
        <v>357</v>
      </c>
      <c r="I69" s="20" t="s">
        <v>340</v>
      </c>
      <c r="J69" s="20">
        <v>7310101</v>
      </c>
      <c r="K69" s="20">
        <v>7</v>
      </c>
      <c r="L69" s="17" t="s">
        <v>150</v>
      </c>
      <c r="M69" s="17">
        <v>2</v>
      </c>
      <c r="N69" s="20">
        <v>7</v>
      </c>
      <c r="O69" s="20" t="s">
        <v>75</v>
      </c>
      <c r="P69" s="20" t="s">
        <v>76</v>
      </c>
      <c r="Q69" s="17"/>
      <c r="R69" s="33">
        <v>1565000</v>
      </c>
      <c r="S69" s="22">
        <f>R69*70%</f>
        <v>1095500</v>
      </c>
      <c r="T69" s="22">
        <v>5</v>
      </c>
      <c r="U69" s="22">
        <f t="shared" si="0"/>
        <v>5477500</v>
      </c>
      <c r="V69" s="30"/>
      <c r="W69" s="30" t="s">
        <v>368</v>
      </c>
      <c r="X69" s="30" t="s">
        <v>369</v>
      </c>
      <c r="Y69" s="17" t="s">
        <v>102</v>
      </c>
    </row>
    <row r="70" spans="1:25" s="26" customFormat="1" ht="29.25" customHeight="1" x14ac:dyDescent="0.25">
      <c r="A70" s="17">
        <v>62</v>
      </c>
      <c r="B70" s="17">
        <v>44</v>
      </c>
      <c r="C70" s="17">
        <v>798</v>
      </c>
      <c r="D70" s="17">
        <v>746</v>
      </c>
      <c r="E70" s="30" t="s">
        <v>370</v>
      </c>
      <c r="F70" s="27" t="s">
        <v>371</v>
      </c>
      <c r="G70" s="17">
        <v>66</v>
      </c>
      <c r="H70" s="17" t="s">
        <v>137</v>
      </c>
      <c r="I70" s="20" t="s">
        <v>372</v>
      </c>
      <c r="J70" s="20">
        <v>7310109</v>
      </c>
      <c r="K70" s="20">
        <v>7</v>
      </c>
      <c r="L70" s="17" t="s">
        <v>150</v>
      </c>
      <c r="M70" s="17">
        <v>2</v>
      </c>
      <c r="N70" s="20">
        <v>7</v>
      </c>
      <c r="O70" s="20" t="s">
        <v>47</v>
      </c>
      <c r="P70" s="17" t="s">
        <v>48</v>
      </c>
      <c r="Q70" s="20"/>
      <c r="R70" s="33">
        <v>1565000</v>
      </c>
      <c r="S70" s="22">
        <f>50%*R70</f>
        <v>782500</v>
      </c>
      <c r="T70" s="22">
        <v>5</v>
      </c>
      <c r="U70" s="22">
        <f t="shared" si="0"/>
        <v>3912500</v>
      </c>
      <c r="V70" s="30"/>
      <c r="W70" s="23" t="s">
        <v>373</v>
      </c>
      <c r="X70" s="34" t="s">
        <v>373</v>
      </c>
      <c r="Y70" s="17" t="s">
        <v>102</v>
      </c>
    </row>
    <row r="71" spans="1:25" s="26" customFormat="1" ht="29.25" customHeight="1" x14ac:dyDescent="0.25">
      <c r="A71" s="17">
        <v>63</v>
      </c>
      <c r="B71" s="17">
        <v>45</v>
      </c>
      <c r="C71" s="17">
        <v>427</v>
      </c>
      <c r="D71" s="17">
        <v>376</v>
      </c>
      <c r="E71" s="17" t="s">
        <v>374</v>
      </c>
      <c r="F71" s="27" t="s">
        <v>375</v>
      </c>
      <c r="G71" s="17">
        <v>63</v>
      </c>
      <c r="H71" s="17" t="s">
        <v>183</v>
      </c>
      <c r="I71" s="17" t="s">
        <v>376</v>
      </c>
      <c r="J71" s="17">
        <v>7340101</v>
      </c>
      <c r="K71" s="17">
        <v>3</v>
      </c>
      <c r="L71" s="17" t="s">
        <v>150</v>
      </c>
      <c r="M71" s="17">
        <v>2</v>
      </c>
      <c r="N71" s="17">
        <v>3</v>
      </c>
      <c r="O71" s="17" t="s">
        <v>75</v>
      </c>
      <c r="P71" s="17" t="s">
        <v>76</v>
      </c>
      <c r="Q71" s="17" t="s">
        <v>69</v>
      </c>
      <c r="R71" s="22">
        <v>1565000</v>
      </c>
      <c r="S71" s="22">
        <f>R71*70%</f>
        <v>1095500</v>
      </c>
      <c r="T71" s="22">
        <v>5</v>
      </c>
      <c r="U71" s="22">
        <f t="shared" si="0"/>
        <v>5477500</v>
      </c>
      <c r="V71" s="17" t="s">
        <v>377</v>
      </c>
      <c r="W71" s="17" t="s">
        <v>378</v>
      </c>
      <c r="X71" s="17" t="s">
        <v>379</v>
      </c>
      <c r="Y71" s="17" t="s">
        <v>42</v>
      </c>
    </row>
    <row r="72" spans="1:25" s="26" customFormat="1" ht="29.25" customHeight="1" x14ac:dyDescent="0.25">
      <c r="A72" s="17">
        <v>64</v>
      </c>
      <c r="B72" s="17">
        <v>46</v>
      </c>
      <c r="C72" s="17">
        <v>429</v>
      </c>
      <c r="D72" s="17">
        <v>378</v>
      </c>
      <c r="E72" s="17" t="s">
        <v>380</v>
      </c>
      <c r="F72" s="27" t="s">
        <v>381</v>
      </c>
      <c r="G72" s="17">
        <v>63</v>
      </c>
      <c r="H72" s="17" t="s">
        <v>183</v>
      </c>
      <c r="I72" s="17" t="s">
        <v>376</v>
      </c>
      <c r="J72" s="17">
        <v>7340101</v>
      </c>
      <c r="K72" s="17">
        <v>3</v>
      </c>
      <c r="L72" s="17" t="s">
        <v>150</v>
      </c>
      <c r="M72" s="17">
        <v>2</v>
      </c>
      <c r="N72" s="17">
        <v>3</v>
      </c>
      <c r="O72" s="17" t="s">
        <v>116</v>
      </c>
      <c r="P72" s="17" t="s">
        <v>38</v>
      </c>
      <c r="Q72" s="17"/>
      <c r="R72" s="22">
        <v>1565000</v>
      </c>
      <c r="S72" s="22">
        <f>R72</f>
        <v>1565000</v>
      </c>
      <c r="T72" s="22">
        <v>5</v>
      </c>
      <c r="U72" s="22">
        <f t="shared" si="0"/>
        <v>7825000</v>
      </c>
      <c r="V72" s="17" t="s">
        <v>382</v>
      </c>
      <c r="W72" s="17" t="s">
        <v>383</v>
      </c>
      <c r="X72" s="17" t="s">
        <v>384</v>
      </c>
      <c r="Y72" s="17" t="s">
        <v>310</v>
      </c>
    </row>
    <row r="73" spans="1:25" s="26" customFormat="1" ht="29.25" customHeight="1" x14ac:dyDescent="0.25">
      <c r="A73" s="17">
        <v>65</v>
      </c>
      <c r="B73" s="17">
        <v>47</v>
      </c>
      <c r="C73" s="17">
        <v>554</v>
      </c>
      <c r="D73" s="17">
        <v>502</v>
      </c>
      <c r="E73" s="30" t="s">
        <v>385</v>
      </c>
      <c r="F73" s="27" t="s">
        <v>386</v>
      </c>
      <c r="G73" s="17">
        <v>63</v>
      </c>
      <c r="H73" s="17" t="s">
        <v>156</v>
      </c>
      <c r="I73" s="17" t="s">
        <v>376</v>
      </c>
      <c r="J73" s="17">
        <v>7340101</v>
      </c>
      <c r="K73" s="17">
        <v>3</v>
      </c>
      <c r="L73" s="17" t="s">
        <v>150</v>
      </c>
      <c r="M73" s="17">
        <v>2</v>
      </c>
      <c r="N73" s="17">
        <v>3</v>
      </c>
      <c r="O73" s="17" t="s">
        <v>116</v>
      </c>
      <c r="P73" s="17" t="s">
        <v>38</v>
      </c>
      <c r="Q73" s="17"/>
      <c r="R73" s="22">
        <v>1565000</v>
      </c>
      <c r="S73" s="22">
        <f>R73</f>
        <v>1565000</v>
      </c>
      <c r="T73" s="22">
        <v>5</v>
      </c>
      <c r="U73" s="22">
        <f t="shared" ref="U73:U136" si="2">S73*T73</f>
        <v>7825000</v>
      </c>
      <c r="V73" s="30" t="s">
        <v>387</v>
      </c>
      <c r="W73" s="30" t="s">
        <v>388</v>
      </c>
      <c r="X73" s="30" t="s">
        <v>389</v>
      </c>
      <c r="Y73" s="17" t="s">
        <v>390</v>
      </c>
    </row>
    <row r="74" spans="1:25" s="26" customFormat="1" ht="29.25" customHeight="1" x14ac:dyDescent="0.25">
      <c r="A74" s="17">
        <v>66</v>
      </c>
      <c r="B74" s="17">
        <v>48</v>
      </c>
      <c r="C74" s="17">
        <v>552</v>
      </c>
      <c r="D74" s="17">
        <v>500</v>
      </c>
      <c r="E74" s="30" t="s">
        <v>391</v>
      </c>
      <c r="F74" s="27" t="s">
        <v>392</v>
      </c>
      <c r="G74" s="17">
        <v>64</v>
      </c>
      <c r="H74" s="17" t="s">
        <v>246</v>
      </c>
      <c r="I74" s="17" t="s">
        <v>376</v>
      </c>
      <c r="J74" s="17">
        <v>7340101</v>
      </c>
      <c r="K74" s="17">
        <v>3</v>
      </c>
      <c r="L74" s="17" t="s">
        <v>150</v>
      </c>
      <c r="M74" s="17">
        <v>2</v>
      </c>
      <c r="N74" s="17">
        <v>3</v>
      </c>
      <c r="O74" s="17" t="s">
        <v>116</v>
      </c>
      <c r="P74" s="17" t="s">
        <v>38</v>
      </c>
      <c r="Q74" s="17"/>
      <c r="R74" s="22">
        <v>1565000</v>
      </c>
      <c r="S74" s="22">
        <f>R74</f>
        <v>1565000</v>
      </c>
      <c r="T74" s="22">
        <v>5</v>
      </c>
      <c r="U74" s="22">
        <f t="shared" si="2"/>
        <v>7825000</v>
      </c>
      <c r="V74" s="30" t="s">
        <v>393</v>
      </c>
      <c r="W74" s="30" t="s">
        <v>394</v>
      </c>
      <c r="X74" s="30" t="s">
        <v>395</v>
      </c>
      <c r="Y74" s="17" t="s">
        <v>52</v>
      </c>
    </row>
    <row r="75" spans="1:25" s="26" customFormat="1" ht="29.25" customHeight="1" x14ac:dyDescent="0.25">
      <c r="A75" s="17">
        <v>67</v>
      </c>
      <c r="B75" s="17">
        <v>49</v>
      </c>
      <c r="C75" s="17">
        <v>656</v>
      </c>
      <c r="D75" s="17">
        <v>604</v>
      </c>
      <c r="E75" s="30" t="s">
        <v>396</v>
      </c>
      <c r="F75" s="27" t="s">
        <v>397</v>
      </c>
      <c r="G75" s="17">
        <v>64</v>
      </c>
      <c r="H75" s="17" t="s">
        <v>246</v>
      </c>
      <c r="I75" s="17" t="s">
        <v>376</v>
      </c>
      <c r="J75" s="17">
        <v>7340101</v>
      </c>
      <c r="K75" s="17">
        <v>3</v>
      </c>
      <c r="L75" s="17" t="s">
        <v>150</v>
      </c>
      <c r="M75" s="17">
        <v>2</v>
      </c>
      <c r="N75" s="17">
        <v>3</v>
      </c>
      <c r="O75" s="17" t="s">
        <v>116</v>
      </c>
      <c r="P75" s="17" t="s">
        <v>38</v>
      </c>
      <c r="Q75" s="17"/>
      <c r="R75" s="22">
        <v>1565000</v>
      </c>
      <c r="S75" s="22">
        <f>R75</f>
        <v>1565000</v>
      </c>
      <c r="T75" s="22">
        <v>5</v>
      </c>
      <c r="U75" s="22">
        <f t="shared" si="2"/>
        <v>7825000</v>
      </c>
      <c r="V75" s="30" t="s">
        <v>398</v>
      </c>
      <c r="W75" s="30" t="s">
        <v>399</v>
      </c>
      <c r="X75" s="30" t="s">
        <v>400</v>
      </c>
      <c r="Y75" s="17" t="s">
        <v>102</v>
      </c>
    </row>
    <row r="76" spans="1:25" s="26" customFormat="1" ht="29.25" customHeight="1" x14ac:dyDescent="0.25">
      <c r="A76" s="17">
        <v>68</v>
      </c>
      <c r="B76" s="17">
        <v>50</v>
      </c>
      <c r="C76" s="38">
        <v>681</v>
      </c>
      <c r="D76" s="38">
        <v>629</v>
      </c>
      <c r="E76" s="30" t="s">
        <v>401</v>
      </c>
      <c r="F76" s="27" t="s">
        <v>402</v>
      </c>
      <c r="G76" s="17">
        <v>64</v>
      </c>
      <c r="H76" s="17" t="s">
        <v>219</v>
      </c>
      <c r="I76" s="17" t="s">
        <v>376</v>
      </c>
      <c r="J76" s="17">
        <v>7340101</v>
      </c>
      <c r="K76" s="17">
        <v>3</v>
      </c>
      <c r="L76" s="17" t="s">
        <v>150</v>
      </c>
      <c r="M76" s="17">
        <v>2</v>
      </c>
      <c r="N76" s="22">
        <v>3</v>
      </c>
      <c r="O76" s="17" t="s">
        <v>75</v>
      </c>
      <c r="P76" s="22" t="s">
        <v>76</v>
      </c>
      <c r="Q76" s="22" t="s">
        <v>69</v>
      </c>
      <c r="R76" s="22">
        <v>1565000</v>
      </c>
      <c r="S76" s="22">
        <f>R76*70%</f>
        <v>1095500</v>
      </c>
      <c r="T76" s="22">
        <v>5</v>
      </c>
      <c r="U76" s="22">
        <f t="shared" si="2"/>
        <v>5477500</v>
      </c>
      <c r="V76" s="30" t="s">
        <v>403</v>
      </c>
      <c r="W76" s="30" t="s">
        <v>404</v>
      </c>
      <c r="X76" s="48" t="s">
        <v>405</v>
      </c>
      <c r="Y76" s="17" t="s">
        <v>42</v>
      </c>
    </row>
    <row r="77" spans="1:25" s="26" customFormat="1" ht="29.25" customHeight="1" x14ac:dyDescent="0.25">
      <c r="A77" s="17">
        <v>69</v>
      </c>
      <c r="B77" s="17">
        <v>51</v>
      </c>
      <c r="C77" s="17">
        <v>659</v>
      </c>
      <c r="D77" s="17">
        <v>607</v>
      </c>
      <c r="E77" s="28" t="s">
        <v>406</v>
      </c>
      <c r="F77" s="27" t="s">
        <v>407</v>
      </c>
      <c r="G77" s="17">
        <v>64</v>
      </c>
      <c r="H77" s="17" t="s">
        <v>246</v>
      </c>
      <c r="I77" s="17" t="s">
        <v>376</v>
      </c>
      <c r="J77" s="17">
        <v>7340101</v>
      </c>
      <c r="K77" s="17">
        <v>3</v>
      </c>
      <c r="L77" s="17" t="s">
        <v>150</v>
      </c>
      <c r="M77" s="17">
        <v>2</v>
      </c>
      <c r="N77" s="17">
        <v>3</v>
      </c>
      <c r="O77" s="17" t="s">
        <v>62</v>
      </c>
      <c r="P77" s="17" t="s">
        <v>38</v>
      </c>
      <c r="Q77" s="17" t="s">
        <v>69</v>
      </c>
      <c r="R77" s="22">
        <v>1565000</v>
      </c>
      <c r="S77" s="22">
        <f>R77</f>
        <v>1565000</v>
      </c>
      <c r="T77" s="22">
        <v>5</v>
      </c>
      <c r="U77" s="22">
        <f t="shared" si="2"/>
        <v>7825000</v>
      </c>
      <c r="V77" s="22" t="s">
        <v>408</v>
      </c>
      <c r="W77" s="30" t="s">
        <v>409</v>
      </c>
      <c r="X77" s="30" t="s">
        <v>410</v>
      </c>
      <c r="Y77" s="17" t="s">
        <v>102</v>
      </c>
    </row>
    <row r="78" spans="1:25" s="26" customFormat="1" ht="29.25" customHeight="1" x14ac:dyDescent="0.25">
      <c r="A78" s="17">
        <v>70</v>
      </c>
      <c r="B78" s="17">
        <v>52</v>
      </c>
      <c r="C78" s="38">
        <v>680</v>
      </c>
      <c r="D78" s="38">
        <v>628</v>
      </c>
      <c r="E78" s="49" t="s">
        <v>411</v>
      </c>
      <c r="F78" s="50" t="s">
        <v>412</v>
      </c>
      <c r="G78" s="38">
        <v>65</v>
      </c>
      <c r="H78" s="38" t="s">
        <v>279</v>
      </c>
      <c r="I78" s="17" t="s">
        <v>376</v>
      </c>
      <c r="J78" s="17">
        <v>7340101</v>
      </c>
      <c r="K78" s="17">
        <v>3</v>
      </c>
      <c r="L78" s="17" t="s">
        <v>150</v>
      </c>
      <c r="M78" s="38">
        <v>2</v>
      </c>
      <c r="N78" s="38">
        <v>3</v>
      </c>
      <c r="O78" s="17" t="s">
        <v>75</v>
      </c>
      <c r="P78" s="17" t="s">
        <v>76</v>
      </c>
      <c r="Q78" s="38" t="s">
        <v>69</v>
      </c>
      <c r="R78" s="22">
        <v>1565000</v>
      </c>
      <c r="S78" s="22">
        <f>R78*70%</f>
        <v>1095500</v>
      </c>
      <c r="T78" s="22">
        <v>5</v>
      </c>
      <c r="U78" s="22">
        <f t="shared" si="2"/>
        <v>5477500</v>
      </c>
      <c r="V78" s="49" t="s">
        <v>413</v>
      </c>
      <c r="W78" s="49" t="s">
        <v>414</v>
      </c>
      <c r="X78" s="49" t="s">
        <v>415</v>
      </c>
      <c r="Y78" s="17" t="s">
        <v>102</v>
      </c>
    </row>
    <row r="79" spans="1:25" s="26" customFormat="1" ht="29.25" customHeight="1" x14ac:dyDescent="0.25">
      <c r="A79" s="17">
        <v>71</v>
      </c>
      <c r="B79" s="17">
        <v>53</v>
      </c>
      <c r="C79" s="17">
        <v>655</v>
      </c>
      <c r="D79" s="17">
        <v>603</v>
      </c>
      <c r="E79" s="28" t="s">
        <v>416</v>
      </c>
      <c r="F79" s="27" t="s">
        <v>417</v>
      </c>
      <c r="G79" s="17">
        <v>65</v>
      </c>
      <c r="H79" s="17" t="s">
        <v>418</v>
      </c>
      <c r="I79" s="17" t="s">
        <v>376</v>
      </c>
      <c r="J79" s="17">
        <v>7340101</v>
      </c>
      <c r="K79" s="17">
        <v>3</v>
      </c>
      <c r="L79" s="17" t="s">
        <v>150</v>
      </c>
      <c r="M79" s="17">
        <v>2</v>
      </c>
      <c r="N79" s="17">
        <v>3</v>
      </c>
      <c r="O79" s="17" t="s">
        <v>47</v>
      </c>
      <c r="P79" s="17" t="s">
        <v>48</v>
      </c>
      <c r="Q79" s="17"/>
      <c r="R79" s="22">
        <v>1565000</v>
      </c>
      <c r="S79" s="22">
        <f>50%*R79</f>
        <v>782500</v>
      </c>
      <c r="T79" s="22">
        <v>5</v>
      </c>
      <c r="U79" s="22">
        <f t="shared" si="2"/>
        <v>3912500</v>
      </c>
      <c r="V79" s="22" t="s">
        <v>419</v>
      </c>
      <c r="W79" s="30" t="s">
        <v>420</v>
      </c>
      <c r="X79" s="30" t="s">
        <v>421</v>
      </c>
      <c r="Y79" s="17" t="s">
        <v>42</v>
      </c>
    </row>
    <row r="80" spans="1:25" s="26" customFormat="1" ht="29.25" customHeight="1" x14ac:dyDescent="0.25">
      <c r="A80" s="17">
        <v>72</v>
      </c>
      <c r="B80" s="17">
        <v>54</v>
      </c>
      <c r="C80" s="17">
        <v>788</v>
      </c>
      <c r="D80" s="17">
        <v>736</v>
      </c>
      <c r="E80" s="30" t="s">
        <v>422</v>
      </c>
      <c r="F80" s="27" t="s">
        <v>423</v>
      </c>
      <c r="G80" s="17">
        <v>66</v>
      </c>
      <c r="H80" s="17" t="s">
        <v>357</v>
      </c>
      <c r="I80" s="20" t="s">
        <v>376</v>
      </c>
      <c r="J80" s="20">
        <v>7340101</v>
      </c>
      <c r="K80" s="20">
        <v>3</v>
      </c>
      <c r="L80" s="17" t="s">
        <v>150</v>
      </c>
      <c r="M80" s="17">
        <v>2</v>
      </c>
      <c r="N80" s="20">
        <v>3</v>
      </c>
      <c r="O80" s="20" t="s">
        <v>62</v>
      </c>
      <c r="P80" s="20" t="s">
        <v>38</v>
      </c>
      <c r="Q80" s="17"/>
      <c r="R80" s="33">
        <v>1565000</v>
      </c>
      <c r="S80" s="22">
        <f>R80</f>
        <v>1565000</v>
      </c>
      <c r="T80" s="22">
        <v>5</v>
      </c>
      <c r="U80" s="22">
        <f t="shared" si="2"/>
        <v>7825000</v>
      </c>
      <c r="V80" s="30" t="s">
        <v>424</v>
      </c>
      <c r="W80" s="30" t="s">
        <v>425</v>
      </c>
      <c r="X80" s="30" t="s">
        <v>425</v>
      </c>
      <c r="Y80" s="17" t="s">
        <v>102</v>
      </c>
    </row>
    <row r="81" spans="1:25" s="26" customFormat="1" ht="29.25" customHeight="1" x14ac:dyDescent="0.25">
      <c r="A81" s="17">
        <v>73</v>
      </c>
      <c r="B81" s="17">
        <v>55</v>
      </c>
      <c r="C81" s="17">
        <v>789</v>
      </c>
      <c r="D81" s="17">
        <v>737</v>
      </c>
      <c r="E81" s="28" t="s">
        <v>426</v>
      </c>
      <c r="F81" s="27" t="s">
        <v>427</v>
      </c>
      <c r="G81" s="17">
        <v>66</v>
      </c>
      <c r="H81" s="17" t="s">
        <v>428</v>
      </c>
      <c r="I81" s="20" t="s">
        <v>429</v>
      </c>
      <c r="J81" s="20">
        <v>7340101</v>
      </c>
      <c r="K81" s="20">
        <v>3</v>
      </c>
      <c r="L81" s="17" t="s">
        <v>150</v>
      </c>
      <c r="M81" s="17">
        <v>2</v>
      </c>
      <c r="N81" s="20">
        <v>3</v>
      </c>
      <c r="O81" s="17" t="s">
        <v>47</v>
      </c>
      <c r="P81" s="17" t="s">
        <v>48</v>
      </c>
      <c r="Q81" s="17"/>
      <c r="R81" s="33">
        <v>1565000</v>
      </c>
      <c r="S81" s="22">
        <f>50%*R81</f>
        <v>782500</v>
      </c>
      <c r="T81" s="22">
        <v>5</v>
      </c>
      <c r="U81" s="22">
        <f t="shared" si="2"/>
        <v>3912500</v>
      </c>
      <c r="V81" s="30" t="s">
        <v>430</v>
      </c>
      <c r="W81" s="30" t="s">
        <v>431</v>
      </c>
      <c r="X81" s="32" t="s">
        <v>432</v>
      </c>
      <c r="Y81" s="17"/>
    </row>
    <row r="82" spans="1:25" s="26" customFormat="1" ht="29.25" customHeight="1" x14ac:dyDescent="0.25">
      <c r="A82" s="17">
        <v>74</v>
      </c>
      <c r="B82" s="17">
        <v>56</v>
      </c>
      <c r="C82" s="17">
        <v>428</v>
      </c>
      <c r="D82" s="17">
        <v>377</v>
      </c>
      <c r="E82" s="17" t="s">
        <v>433</v>
      </c>
      <c r="F82" s="27" t="s">
        <v>434</v>
      </c>
      <c r="G82" s="17">
        <v>63</v>
      </c>
      <c r="H82" s="17" t="s">
        <v>45</v>
      </c>
      <c r="I82" s="17" t="s">
        <v>435</v>
      </c>
      <c r="J82" s="17">
        <v>7340101</v>
      </c>
      <c r="K82" s="17">
        <v>3</v>
      </c>
      <c r="L82" s="17" t="s">
        <v>150</v>
      </c>
      <c r="M82" s="17">
        <v>2</v>
      </c>
      <c r="N82" s="17">
        <v>3</v>
      </c>
      <c r="O82" s="17" t="s">
        <v>116</v>
      </c>
      <c r="P82" s="17" t="s">
        <v>38</v>
      </c>
      <c r="Q82" s="17"/>
      <c r="R82" s="22">
        <v>1565000</v>
      </c>
      <c r="S82" s="22">
        <f>R82</f>
        <v>1565000</v>
      </c>
      <c r="T82" s="22">
        <v>5</v>
      </c>
      <c r="U82" s="22">
        <f t="shared" si="2"/>
        <v>7825000</v>
      </c>
      <c r="V82" s="17" t="s">
        <v>382</v>
      </c>
      <c r="W82" s="17" t="s">
        <v>436</v>
      </c>
      <c r="X82" s="17" t="s">
        <v>437</v>
      </c>
      <c r="Y82" s="17" t="s">
        <v>42</v>
      </c>
    </row>
    <row r="83" spans="1:25" s="26" customFormat="1" ht="29.25" customHeight="1" x14ac:dyDescent="0.25">
      <c r="A83" s="17">
        <v>75</v>
      </c>
      <c r="B83" s="17">
        <v>57</v>
      </c>
      <c r="C83" s="17">
        <v>527</v>
      </c>
      <c r="D83" s="17">
        <v>475</v>
      </c>
      <c r="E83" s="30" t="s">
        <v>438</v>
      </c>
      <c r="F83" s="27" t="s">
        <v>439</v>
      </c>
      <c r="G83" s="17">
        <v>63</v>
      </c>
      <c r="H83" s="17" t="s">
        <v>156</v>
      </c>
      <c r="I83" s="17" t="s">
        <v>440</v>
      </c>
      <c r="J83" s="17">
        <v>7340201</v>
      </c>
      <c r="K83" s="17">
        <v>3</v>
      </c>
      <c r="L83" s="17" t="s">
        <v>150</v>
      </c>
      <c r="M83" s="17">
        <v>2</v>
      </c>
      <c r="N83" s="17">
        <v>3</v>
      </c>
      <c r="O83" s="17" t="s">
        <v>47</v>
      </c>
      <c r="P83" s="17" t="s">
        <v>48</v>
      </c>
      <c r="Q83" s="17"/>
      <c r="R83" s="22">
        <v>1565000</v>
      </c>
      <c r="S83" s="22">
        <f>50%*R83</f>
        <v>782500</v>
      </c>
      <c r="T83" s="22">
        <v>5</v>
      </c>
      <c r="U83" s="22">
        <f t="shared" si="2"/>
        <v>3912500</v>
      </c>
      <c r="V83" s="30" t="s">
        <v>441</v>
      </c>
      <c r="W83" s="30" t="s">
        <v>442</v>
      </c>
      <c r="X83" s="30" t="s">
        <v>443</v>
      </c>
      <c r="Y83" s="17" t="s">
        <v>42</v>
      </c>
    </row>
    <row r="84" spans="1:25" s="26" customFormat="1" ht="29.25" customHeight="1" x14ac:dyDescent="0.25">
      <c r="A84" s="17">
        <v>76</v>
      </c>
      <c r="B84" s="17">
        <v>58</v>
      </c>
      <c r="C84" s="17">
        <v>541</v>
      </c>
      <c r="D84" s="17">
        <v>489</v>
      </c>
      <c r="E84" s="30" t="s">
        <v>444</v>
      </c>
      <c r="F84" s="27" t="s">
        <v>445</v>
      </c>
      <c r="G84" s="17">
        <v>63</v>
      </c>
      <c r="H84" s="17" t="s">
        <v>148</v>
      </c>
      <c r="I84" s="17" t="s">
        <v>440</v>
      </c>
      <c r="J84" s="17">
        <v>7340201</v>
      </c>
      <c r="K84" s="17">
        <v>3</v>
      </c>
      <c r="L84" s="17" t="s">
        <v>150</v>
      </c>
      <c r="M84" s="17">
        <v>2</v>
      </c>
      <c r="N84" s="17">
        <v>3</v>
      </c>
      <c r="O84" s="17" t="s">
        <v>47</v>
      </c>
      <c r="P84" s="17" t="s">
        <v>48</v>
      </c>
      <c r="Q84" s="17"/>
      <c r="R84" s="22">
        <v>1565000</v>
      </c>
      <c r="S84" s="22">
        <f>50%*R84</f>
        <v>782500</v>
      </c>
      <c r="T84" s="22">
        <v>5</v>
      </c>
      <c r="U84" s="22">
        <f t="shared" si="2"/>
        <v>3912500</v>
      </c>
      <c r="V84" s="30" t="s">
        <v>446</v>
      </c>
      <c r="W84" s="30" t="s">
        <v>447</v>
      </c>
      <c r="X84" s="30" t="s">
        <v>448</v>
      </c>
      <c r="Y84" s="17" t="s">
        <v>449</v>
      </c>
    </row>
    <row r="85" spans="1:25" s="26" customFormat="1" ht="29.25" customHeight="1" x14ac:dyDescent="0.25">
      <c r="A85" s="17">
        <v>77</v>
      </c>
      <c r="B85" s="17">
        <v>59</v>
      </c>
      <c r="C85" s="17">
        <v>791</v>
      </c>
      <c r="D85" s="17">
        <v>739</v>
      </c>
      <c r="E85" s="30" t="s">
        <v>450</v>
      </c>
      <c r="F85" s="27" t="s">
        <v>451</v>
      </c>
      <c r="G85" s="17">
        <v>65</v>
      </c>
      <c r="H85" s="17" t="s">
        <v>290</v>
      </c>
      <c r="I85" s="20" t="s">
        <v>440</v>
      </c>
      <c r="J85" s="20">
        <v>7340201</v>
      </c>
      <c r="K85" s="20">
        <v>3</v>
      </c>
      <c r="L85" s="17" t="s">
        <v>150</v>
      </c>
      <c r="M85" s="17">
        <v>2</v>
      </c>
      <c r="N85" s="20">
        <v>3</v>
      </c>
      <c r="O85" s="17" t="s">
        <v>258</v>
      </c>
      <c r="P85" s="20" t="s">
        <v>38</v>
      </c>
      <c r="Q85" s="17"/>
      <c r="R85" s="33">
        <v>1565000</v>
      </c>
      <c r="S85" s="22">
        <f>R85</f>
        <v>1565000</v>
      </c>
      <c r="T85" s="22">
        <v>5</v>
      </c>
      <c r="U85" s="22">
        <f t="shared" si="2"/>
        <v>7825000</v>
      </c>
      <c r="V85" s="30" t="s">
        <v>452</v>
      </c>
      <c r="W85" s="30" t="s">
        <v>453</v>
      </c>
      <c r="X85" s="30" t="s">
        <v>454</v>
      </c>
      <c r="Y85" s="17" t="s">
        <v>42</v>
      </c>
    </row>
    <row r="86" spans="1:25" s="26" customFormat="1" ht="29.25" customHeight="1" x14ac:dyDescent="0.25">
      <c r="A86" s="17">
        <v>78</v>
      </c>
      <c r="B86" s="17">
        <v>60</v>
      </c>
      <c r="C86" s="17">
        <v>657</v>
      </c>
      <c r="D86" s="17">
        <v>605</v>
      </c>
      <c r="E86" s="28" t="s">
        <v>455</v>
      </c>
      <c r="F86" s="27" t="s">
        <v>456</v>
      </c>
      <c r="G86" s="17">
        <v>65</v>
      </c>
      <c r="H86" s="17" t="s">
        <v>418</v>
      </c>
      <c r="I86" s="17" t="s">
        <v>440</v>
      </c>
      <c r="J86" s="17">
        <v>7340201</v>
      </c>
      <c r="K86" s="17">
        <v>3</v>
      </c>
      <c r="L86" s="17" t="s">
        <v>150</v>
      </c>
      <c r="M86" s="17">
        <v>2</v>
      </c>
      <c r="N86" s="17">
        <v>3</v>
      </c>
      <c r="O86" s="17" t="s">
        <v>47</v>
      </c>
      <c r="P86" s="17" t="s">
        <v>48</v>
      </c>
      <c r="Q86" s="17"/>
      <c r="R86" s="22">
        <v>1565000</v>
      </c>
      <c r="S86" s="22">
        <f>50%*R86</f>
        <v>782500</v>
      </c>
      <c r="T86" s="22">
        <v>5</v>
      </c>
      <c r="U86" s="22">
        <f t="shared" si="2"/>
        <v>3912500</v>
      </c>
      <c r="V86" s="47" t="s">
        <v>457</v>
      </c>
      <c r="W86" s="30" t="s">
        <v>458</v>
      </c>
      <c r="X86" s="30" t="s">
        <v>458</v>
      </c>
      <c r="Y86" s="17" t="s">
        <v>102</v>
      </c>
    </row>
    <row r="87" spans="1:25" s="26" customFormat="1" ht="29.25" customHeight="1" x14ac:dyDescent="0.25">
      <c r="A87" s="17">
        <v>79</v>
      </c>
      <c r="B87" s="17">
        <v>61</v>
      </c>
      <c r="C87" s="17">
        <v>658</v>
      </c>
      <c r="D87" s="17">
        <v>606</v>
      </c>
      <c r="E87" s="28" t="s">
        <v>459</v>
      </c>
      <c r="F87" s="27" t="s">
        <v>460</v>
      </c>
      <c r="G87" s="17">
        <v>65</v>
      </c>
      <c r="H87" s="17" t="s">
        <v>279</v>
      </c>
      <c r="I87" s="17" t="s">
        <v>440</v>
      </c>
      <c r="J87" s="17">
        <v>7340201</v>
      </c>
      <c r="K87" s="17">
        <v>3</v>
      </c>
      <c r="L87" s="17" t="s">
        <v>150</v>
      </c>
      <c r="M87" s="17">
        <v>2</v>
      </c>
      <c r="N87" s="17">
        <v>3</v>
      </c>
      <c r="O87" s="17" t="s">
        <v>116</v>
      </c>
      <c r="P87" s="17" t="s">
        <v>38</v>
      </c>
      <c r="Q87" s="17"/>
      <c r="R87" s="22">
        <v>1565000</v>
      </c>
      <c r="S87" s="22">
        <f>R87</f>
        <v>1565000</v>
      </c>
      <c r="T87" s="22">
        <v>5</v>
      </c>
      <c r="U87" s="22">
        <f t="shared" si="2"/>
        <v>7825000</v>
      </c>
      <c r="V87" s="22" t="s">
        <v>461</v>
      </c>
      <c r="W87" s="30" t="s">
        <v>462</v>
      </c>
      <c r="X87" s="30" t="s">
        <v>462</v>
      </c>
      <c r="Y87" s="17" t="s">
        <v>102</v>
      </c>
    </row>
    <row r="88" spans="1:25" s="26" customFormat="1" ht="29.25" customHeight="1" x14ac:dyDescent="0.25">
      <c r="A88" s="17">
        <v>80</v>
      </c>
      <c r="B88" s="17">
        <v>62</v>
      </c>
      <c r="C88" s="17">
        <v>790</v>
      </c>
      <c r="D88" s="17">
        <v>738</v>
      </c>
      <c r="E88" s="30" t="s">
        <v>463</v>
      </c>
      <c r="F88" s="27" t="s">
        <v>464</v>
      </c>
      <c r="G88" s="17">
        <v>66</v>
      </c>
      <c r="H88" s="17" t="s">
        <v>137</v>
      </c>
      <c r="I88" s="20" t="s">
        <v>440</v>
      </c>
      <c r="J88" s="20">
        <v>7340201</v>
      </c>
      <c r="K88" s="20">
        <v>3</v>
      </c>
      <c r="L88" s="17" t="s">
        <v>150</v>
      </c>
      <c r="M88" s="17">
        <v>2</v>
      </c>
      <c r="N88" s="20">
        <v>3</v>
      </c>
      <c r="O88" s="17" t="s">
        <v>116</v>
      </c>
      <c r="P88" s="20" t="s">
        <v>38</v>
      </c>
      <c r="Q88" s="17"/>
      <c r="R88" s="33">
        <v>1565000</v>
      </c>
      <c r="S88" s="22">
        <f>R88</f>
        <v>1565000</v>
      </c>
      <c r="T88" s="22">
        <v>5</v>
      </c>
      <c r="U88" s="22">
        <f t="shared" si="2"/>
        <v>7825000</v>
      </c>
      <c r="V88" s="30"/>
      <c r="W88" s="30" t="s">
        <v>465</v>
      </c>
      <c r="X88" s="30" t="s">
        <v>466</v>
      </c>
      <c r="Y88" s="17" t="s">
        <v>42</v>
      </c>
    </row>
    <row r="89" spans="1:25" s="26" customFormat="1" ht="29.25" customHeight="1" x14ac:dyDescent="0.25">
      <c r="A89" s="17">
        <v>81</v>
      </c>
      <c r="B89" s="17">
        <v>63</v>
      </c>
      <c r="C89" s="17">
        <v>792</v>
      </c>
      <c r="D89" s="17">
        <v>740</v>
      </c>
      <c r="E89" s="30" t="s">
        <v>467</v>
      </c>
      <c r="F89" s="27" t="s">
        <v>468</v>
      </c>
      <c r="G89" s="17">
        <v>66</v>
      </c>
      <c r="H89" s="17" t="s">
        <v>137</v>
      </c>
      <c r="I89" s="20" t="s">
        <v>440</v>
      </c>
      <c r="J89" s="20">
        <v>7340201</v>
      </c>
      <c r="K89" s="20">
        <v>3</v>
      </c>
      <c r="L89" s="17" t="s">
        <v>150</v>
      </c>
      <c r="M89" s="17">
        <v>2</v>
      </c>
      <c r="N89" s="20">
        <v>3</v>
      </c>
      <c r="O89" s="20" t="s">
        <v>75</v>
      </c>
      <c r="P89" s="20" t="s">
        <v>76</v>
      </c>
      <c r="Q89" s="17"/>
      <c r="R89" s="33">
        <v>1565000</v>
      </c>
      <c r="S89" s="22">
        <f>R89*70%</f>
        <v>1095500</v>
      </c>
      <c r="T89" s="22">
        <v>5</v>
      </c>
      <c r="U89" s="22">
        <f t="shared" si="2"/>
        <v>5477500</v>
      </c>
      <c r="V89" s="17"/>
      <c r="W89" s="30" t="s">
        <v>469</v>
      </c>
      <c r="X89" s="30" t="s">
        <v>470</v>
      </c>
      <c r="Y89" s="17" t="s">
        <v>42</v>
      </c>
    </row>
    <row r="90" spans="1:25" s="26" customFormat="1" ht="29.25" customHeight="1" x14ac:dyDescent="0.25">
      <c r="A90" s="17">
        <v>82</v>
      </c>
      <c r="B90" s="17">
        <v>64</v>
      </c>
      <c r="C90" s="17">
        <v>797</v>
      </c>
      <c r="D90" s="17">
        <v>745</v>
      </c>
      <c r="E90" s="30" t="s">
        <v>471</v>
      </c>
      <c r="F90" s="27" t="s">
        <v>472</v>
      </c>
      <c r="G90" s="17">
        <v>66</v>
      </c>
      <c r="H90" s="17" t="s">
        <v>137</v>
      </c>
      <c r="I90" s="20" t="s">
        <v>473</v>
      </c>
      <c r="J90" s="20">
        <v>7340122</v>
      </c>
      <c r="K90" s="20">
        <v>3</v>
      </c>
      <c r="L90" s="17" t="s">
        <v>150</v>
      </c>
      <c r="M90" s="17">
        <v>2</v>
      </c>
      <c r="N90" s="20">
        <v>3</v>
      </c>
      <c r="O90" s="17" t="s">
        <v>55</v>
      </c>
      <c r="P90" s="20" t="s">
        <v>38</v>
      </c>
      <c r="Q90" s="20"/>
      <c r="R90" s="33">
        <v>1565000</v>
      </c>
      <c r="S90" s="22">
        <f>R90</f>
        <v>1565000</v>
      </c>
      <c r="T90" s="22">
        <v>5</v>
      </c>
      <c r="U90" s="22">
        <f t="shared" si="2"/>
        <v>7825000</v>
      </c>
      <c r="V90" s="30"/>
      <c r="W90" s="23">
        <v>362540683</v>
      </c>
      <c r="X90" s="34">
        <v>8830040688</v>
      </c>
      <c r="Y90" s="17" t="s">
        <v>102</v>
      </c>
    </row>
    <row r="91" spans="1:25" s="26" customFormat="1" ht="29.25" customHeight="1" x14ac:dyDescent="0.25">
      <c r="A91" s="17">
        <v>83</v>
      </c>
      <c r="B91" s="17">
        <v>65</v>
      </c>
      <c r="C91" s="17">
        <v>794</v>
      </c>
      <c r="D91" s="17">
        <v>742</v>
      </c>
      <c r="E91" s="30" t="s">
        <v>474</v>
      </c>
      <c r="F91" s="27" t="s">
        <v>475</v>
      </c>
      <c r="G91" s="17">
        <v>65</v>
      </c>
      <c r="H91" s="17" t="s">
        <v>290</v>
      </c>
      <c r="I91" s="20" t="s">
        <v>476</v>
      </c>
      <c r="J91" s="20">
        <v>7340122</v>
      </c>
      <c r="K91" s="20">
        <v>3</v>
      </c>
      <c r="L91" s="17" t="s">
        <v>150</v>
      </c>
      <c r="M91" s="17">
        <v>2</v>
      </c>
      <c r="N91" s="20">
        <v>3</v>
      </c>
      <c r="O91" s="20" t="s">
        <v>62</v>
      </c>
      <c r="P91" s="20" t="s">
        <v>38</v>
      </c>
      <c r="Q91" s="17"/>
      <c r="R91" s="33">
        <v>1565000</v>
      </c>
      <c r="S91" s="22">
        <f>R91</f>
        <v>1565000</v>
      </c>
      <c r="T91" s="22">
        <v>5</v>
      </c>
      <c r="U91" s="22">
        <f t="shared" si="2"/>
        <v>7825000</v>
      </c>
      <c r="V91" s="30"/>
      <c r="W91" s="30" t="s">
        <v>477</v>
      </c>
      <c r="X91" s="30" t="s">
        <v>478</v>
      </c>
      <c r="Y91" s="17" t="s">
        <v>52</v>
      </c>
    </row>
    <row r="92" spans="1:25" s="26" customFormat="1" ht="29.25" customHeight="1" x14ac:dyDescent="0.25">
      <c r="A92" s="17">
        <v>84</v>
      </c>
      <c r="B92" s="17">
        <v>66</v>
      </c>
      <c r="C92" s="17">
        <v>619</v>
      </c>
      <c r="D92" s="17">
        <v>567</v>
      </c>
      <c r="E92" s="28" t="s">
        <v>479</v>
      </c>
      <c r="F92" s="27" t="s">
        <v>480</v>
      </c>
      <c r="G92" s="17">
        <v>65</v>
      </c>
      <c r="H92" s="17" t="s">
        <v>68</v>
      </c>
      <c r="I92" s="17" t="s">
        <v>476</v>
      </c>
      <c r="J92" s="17">
        <v>7340122</v>
      </c>
      <c r="K92" s="17">
        <v>3</v>
      </c>
      <c r="L92" s="17" t="s">
        <v>150</v>
      </c>
      <c r="M92" s="17">
        <v>2</v>
      </c>
      <c r="N92" s="17">
        <v>3</v>
      </c>
      <c r="O92" s="17" t="s">
        <v>116</v>
      </c>
      <c r="P92" s="17" t="s">
        <v>38</v>
      </c>
      <c r="Q92" s="17"/>
      <c r="R92" s="22">
        <v>1565000</v>
      </c>
      <c r="S92" s="22">
        <f>R92</f>
        <v>1565000</v>
      </c>
      <c r="T92" s="22">
        <v>5</v>
      </c>
      <c r="U92" s="22">
        <f t="shared" si="2"/>
        <v>7825000</v>
      </c>
      <c r="V92" s="22" t="s">
        <v>481</v>
      </c>
      <c r="W92" s="30" t="s">
        <v>482</v>
      </c>
      <c r="X92" s="30" t="s">
        <v>483</v>
      </c>
      <c r="Y92" s="17" t="s">
        <v>310</v>
      </c>
    </row>
    <row r="93" spans="1:25" s="26" customFormat="1" ht="29.25" customHeight="1" x14ac:dyDescent="0.25">
      <c r="A93" s="17">
        <v>85</v>
      </c>
      <c r="B93" s="17">
        <v>67</v>
      </c>
      <c r="C93" s="17">
        <v>793</v>
      </c>
      <c r="D93" s="17">
        <v>741</v>
      </c>
      <c r="E93" s="30" t="s">
        <v>484</v>
      </c>
      <c r="F93" s="27" t="s">
        <v>485</v>
      </c>
      <c r="G93" s="17">
        <v>66</v>
      </c>
      <c r="H93" s="17" t="s">
        <v>137</v>
      </c>
      <c r="I93" s="20" t="s">
        <v>476</v>
      </c>
      <c r="J93" s="20">
        <v>7340122</v>
      </c>
      <c r="K93" s="20">
        <v>3</v>
      </c>
      <c r="L93" s="17" t="s">
        <v>150</v>
      </c>
      <c r="M93" s="17">
        <v>2</v>
      </c>
      <c r="N93" s="20">
        <v>3</v>
      </c>
      <c r="O93" s="17" t="s">
        <v>47</v>
      </c>
      <c r="P93" s="17" t="s">
        <v>48</v>
      </c>
      <c r="Q93" s="17"/>
      <c r="R93" s="33">
        <v>1565000</v>
      </c>
      <c r="S93" s="22">
        <f>50%*R93</f>
        <v>782500</v>
      </c>
      <c r="T93" s="22">
        <v>5</v>
      </c>
      <c r="U93" s="22">
        <f t="shared" si="2"/>
        <v>3912500</v>
      </c>
      <c r="V93" s="17"/>
      <c r="W93" s="30" t="s">
        <v>486</v>
      </c>
      <c r="X93" s="30" t="s">
        <v>486</v>
      </c>
      <c r="Y93" s="17" t="s">
        <v>42</v>
      </c>
    </row>
    <row r="94" spans="1:25" s="26" customFormat="1" ht="29.25" customHeight="1" x14ac:dyDescent="0.25">
      <c r="A94" s="17">
        <v>86</v>
      </c>
      <c r="B94" s="17">
        <v>68</v>
      </c>
      <c r="C94" s="17">
        <v>795</v>
      </c>
      <c r="D94" s="17">
        <v>743</v>
      </c>
      <c r="E94" s="30" t="s">
        <v>487</v>
      </c>
      <c r="F94" s="27" t="s">
        <v>488</v>
      </c>
      <c r="G94" s="17">
        <v>66</v>
      </c>
      <c r="H94" s="17" t="s">
        <v>357</v>
      </c>
      <c r="I94" s="20" t="s">
        <v>476</v>
      </c>
      <c r="J94" s="20">
        <v>7340122</v>
      </c>
      <c r="K94" s="20">
        <v>3</v>
      </c>
      <c r="L94" s="17" t="s">
        <v>150</v>
      </c>
      <c r="M94" s="17">
        <v>2</v>
      </c>
      <c r="N94" s="20">
        <v>3</v>
      </c>
      <c r="O94" s="20" t="s">
        <v>75</v>
      </c>
      <c r="P94" s="20" t="s">
        <v>76</v>
      </c>
      <c r="Q94" s="17"/>
      <c r="R94" s="33">
        <v>1565000</v>
      </c>
      <c r="S94" s="22">
        <f>R94*70%</f>
        <v>1095500</v>
      </c>
      <c r="T94" s="22">
        <v>5</v>
      </c>
      <c r="U94" s="22">
        <f t="shared" si="2"/>
        <v>5477500</v>
      </c>
      <c r="V94" s="30"/>
      <c r="W94" s="30" t="s">
        <v>489</v>
      </c>
      <c r="X94" s="30" t="s">
        <v>490</v>
      </c>
      <c r="Y94" s="17" t="s">
        <v>102</v>
      </c>
    </row>
    <row r="95" spans="1:25" s="26" customFormat="1" ht="29.25" customHeight="1" x14ac:dyDescent="0.25">
      <c r="A95" s="17">
        <v>87</v>
      </c>
      <c r="B95" s="17">
        <v>1</v>
      </c>
      <c r="C95" s="17">
        <v>569</v>
      </c>
      <c r="D95" s="17">
        <v>517</v>
      </c>
      <c r="E95" s="30" t="s">
        <v>491</v>
      </c>
      <c r="F95" s="27" t="s">
        <v>492</v>
      </c>
      <c r="G95" s="17">
        <v>65</v>
      </c>
      <c r="H95" s="17" t="s">
        <v>68</v>
      </c>
      <c r="I95" s="17" t="s">
        <v>493</v>
      </c>
      <c r="J95" s="17">
        <v>7760101</v>
      </c>
      <c r="K95" s="17">
        <v>7</v>
      </c>
      <c r="L95" s="17" t="s">
        <v>494</v>
      </c>
      <c r="M95" s="17">
        <v>3</v>
      </c>
      <c r="N95" s="17">
        <v>7</v>
      </c>
      <c r="O95" s="17" t="s">
        <v>55</v>
      </c>
      <c r="P95" s="17" t="s">
        <v>38</v>
      </c>
      <c r="Q95" s="17"/>
      <c r="R95" s="22">
        <v>1565000</v>
      </c>
      <c r="S95" s="22">
        <f>R95</f>
        <v>1565000</v>
      </c>
      <c r="T95" s="22">
        <v>5</v>
      </c>
      <c r="U95" s="22">
        <f t="shared" si="2"/>
        <v>7825000</v>
      </c>
      <c r="V95" s="30" t="s">
        <v>495</v>
      </c>
      <c r="W95" s="30" t="s">
        <v>496</v>
      </c>
      <c r="X95" s="30" t="s">
        <v>497</v>
      </c>
      <c r="Y95" s="17" t="s">
        <v>102</v>
      </c>
    </row>
    <row r="96" spans="1:25" s="26" customFormat="1" ht="29.25" customHeight="1" x14ac:dyDescent="0.25">
      <c r="A96" s="17">
        <v>88</v>
      </c>
      <c r="B96" s="17">
        <v>2</v>
      </c>
      <c r="C96" s="17">
        <v>704</v>
      </c>
      <c r="D96" s="17">
        <v>652</v>
      </c>
      <c r="E96" s="30" t="s">
        <v>498</v>
      </c>
      <c r="F96" s="27" t="s">
        <v>499</v>
      </c>
      <c r="G96" s="17">
        <v>66</v>
      </c>
      <c r="H96" s="17" t="s">
        <v>82</v>
      </c>
      <c r="I96" s="20" t="s">
        <v>493</v>
      </c>
      <c r="J96" s="20">
        <v>7760101</v>
      </c>
      <c r="K96" s="20">
        <v>7</v>
      </c>
      <c r="L96" s="17" t="s">
        <v>494</v>
      </c>
      <c r="M96" s="17">
        <v>3</v>
      </c>
      <c r="N96" s="20">
        <v>7</v>
      </c>
      <c r="O96" s="17" t="s">
        <v>258</v>
      </c>
      <c r="P96" s="20" t="s">
        <v>38</v>
      </c>
      <c r="Q96" s="17"/>
      <c r="R96" s="33">
        <v>1565000</v>
      </c>
      <c r="S96" s="22">
        <f>R96</f>
        <v>1565000</v>
      </c>
      <c r="T96" s="22">
        <v>5</v>
      </c>
      <c r="U96" s="22">
        <f t="shared" si="2"/>
        <v>7825000</v>
      </c>
      <c r="V96" s="30" t="s">
        <v>500</v>
      </c>
      <c r="W96" s="30" t="s">
        <v>501</v>
      </c>
      <c r="X96" s="30">
        <v>8801962179</v>
      </c>
      <c r="Y96" s="17" t="s">
        <v>42</v>
      </c>
    </row>
    <row r="97" spans="1:25" s="26" customFormat="1" ht="29.25" customHeight="1" x14ac:dyDescent="0.25">
      <c r="A97" s="17">
        <v>89</v>
      </c>
      <c r="B97" s="17">
        <v>3</v>
      </c>
      <c r="C97" s="17">
        <v>705</v>
      </c>
      <c r="D97" s="17">
        <v>653</v>
      </c>
      <c r="E97" s="28" t="s">
        <v>502</v>
      </c>
      <c r="F97" s="27" t="s">
        <v>503</v>
      </c>
      <c r="G97" s="17">
        <v>66</v>
      </c>
      <c r="H97" s="17" t="s">
        <v>82</v>
      </c>
      <c r="I97" s="20" t="s">
        <v>493</v>
      </c>
      <c r="J97" s="20">
        <v>7760101</v>
      </c>
      <c r="K97" s="20">
        <v>7</v>
      </c>
      <c r="L97" s="17" t="s">
        <v>494</v>
      </c>
      <c r="M97" s="17">
        <v>3</v>
      </c>
      <c r="N97" s="20">
        <v>7</v>
      </c>
      <c r="O97" s="20" t="s">
        <v>75</v>
      </c>
      <c r="P97" s="20" t="s">
        <v>76</v>
      </c>
      <c r="Q97" s="17" t="s">
        <v>504</v>
      </c>
      <c r="R97" s="33">
        <v>1565000</v>
      </c>
      <c r="S97" s="22">
        <f>R97*70%</f>
        <v>1095500</v>
      </c>
      <c r="T97" s="22">
        <v>5</v>
      </c>
      <c r="U97" s="22">
        <f t="shared" si="2"/>
        <v>5477500</v>
      </c>
      <c r="V97" s="30" t="s">
        <v>505</v>
      </c>
      <c r="W97" s="30" t="s">
        <v>506</v>
      </c>
      <c r="X97" s="32">
        <v>110107231106</v>
      </c>
      <c r="Y97" s="17" t="s">
        <v>102</v>
      </c>
    </row>
    <row r="98" spans="1:25" s="26" customFormat="1" ht="29.25" customHeight="1" x14ac:dyDescent="0.25">
      <c r="A98" s="17">
        <v>90</v>
      </c>
      <c r="B98" s="17">
        <v>4</v>
      </c>
      <c r="C98" s="17">
        <v>706</v>
      </c>
      <c r="D98" s="17">
        <v>654</v>
      </c>
      <c r="E98" s="30" t="s">
        <v>507</v>
      </c>
      <c r="F98" s="27" t="s">
        <v>508</v>
      </c>
      <c r="G98" s="17">
        <v>66</v>
      </c>
      <c r="H98" s="17" t="s">
        <v>82</v>
      </c>
      <c r="I98" s="20" t="s">
        <v>493</v>
      </c>
      <c r="J98" s="20">
        <v>7760101</v>
      </c>
      <c r="K98" s="20">
        <v>7</v>
      </c>
      <c r="L98" s="17" t="s">
        <v>494</v>
      </c>
      <c r="M98" s="17">
        <v>3</v>
      </c>
      <c r="N98" s="20">
        <v>7</v>
      </c>
      <c r="O98" s="20" t="s">
        <v>75</v>
      </c>
      <c r="P98" s="20" t="s">
        <v>76</v>
      </c>
      <c r="Q98" s="17" t="s">
        <v>69</v>
      </c>
      <c r="R98" s="33">
        <v>1565000</v>
      </c>
      <c r="S98" s="22">
        <f>R98*70%</f>
        <v>1095500</v>
      </c>
      <c r="T98" s="22">
        <v>5</v>
      </c>
      <c r="U98" s="22">
        <f t="shared" si="2"/>
        <v>5477500</v>
      </c>
      <c r="V98" s="30" t="s">
        <v>509</v>
      </c>
      <c r="W98" s="30" t="s">
        <v>510</v>
      </c>
      <c r="X98" s="17">
        <v>1207999988</v>
      </c>
      <c r="Y98" s="17" t="s">
        <v>349</v>
      </c>
    </row>
    <row r="99" spans="1:25" s="26" customFormat="1" ht="29.25" customHeight="1" x14ac:dyDescent="0.25">
      <c r="A99" s="17">
        <v>91</v>
      </c>
      <c r="B99" s="17">
        <v>5</v>
      </c>
      <c r="C99" s="17">
        <v>707</v>
      </c>
      <c r="D99" s="17">
        <v>655</v>
      </c>
      <c r="E99" s="30" t="s">
        <v>511</v>
      </c>
      <c r="F99" s="27" t="s">
        <v>512</v>
      </c>
      <c r="G99" s="17">
        <v>66</v>
      </c>
      <c r="H99" s="17" t="s">
        <v>82</v>
      </c>
      <c r="I99" s="20" t="s">
        <v>493</v>
      </c>
      <c r="J99" s="20">
        <v>7760101</v>
      </c>
      <c r="K99" s="20">
        <v>7</v>
      </c>
      <c r="L99" s="17" t="s">
        <v>494</v>
      </c>
      <c r="M99" s="17">
        <v>3</v>
      </c>
      <c r="N99" s="20">
        <v>7</v>
      </c>
      <c r="O99" s="20" t="s">
        <v>75</v>
      </c>
      <c r="P99" s="20" t="s">
        <v>76</v>
      </c>
      <c r="Q99" s="17" t="s">
        <v>69</v>
      </c>
      <c r="R99" s="33">
        <v>1565000</v>
      </c>
      <c r="S99" s="22">
        <f>R99*70%</f>
        <v>1095500</v>
      </c>
      <c r="T99" s="22">
        <v>5</v>
      </c>
      <c r="U99" s="22">
        <f t="shared" si="2"/>
        <v>5477500</v>
      </c>
      <c r="V99" s="30" t="s">
        <v>513</v>
      </c>
      <c r="W99" s="30" t="s">
        <v>514</v>
      </c>
      <c r="X99" s="30" t="s">
        <v>515</v>
      </c>
      <c r="Y99" s="17" t="s">
        <v>310</v>
      </c>
    </row>
    <row r="100" spans="1:25" ht="29.25" customHeight="1" x14ac:dyDescent="0.25">
      <c r="A100" s="17">
        <v>92</v>
      </c>
      <c r="B100" s="17">
        <v>6</v>
      </c>
      <c r="C100" s="17">
        <v>708</v>
      </c>
      <c r="D100" s="17">
        <v>656</v>
      </c>
      <c r="E100" s="30" t="s">
        <v>516</v>
      </c>
      <c r="F100" s="27" t="s">
        <v>312</v>
      </c>
      <c r="G100" s="17">
        <v>66</v>
      </c>
      <c r="H100" s="17" t="s">
        <v>82</v>
      </c>
      <c r="I100" s="20" t="s">
        <v>493</v>
      </c>
      <c r="J100" s="20">
        <v>7760101</v>
      </c>
      <c r="K100" s="20">
        <v>7</v>
      </c>
      <c r="L100" s="17" t="s">
        <v>494</v>
      </c>
      <c r="M100" s="17">
        <v>3</v>
      </c>
      <c r="N100" s="20">
        <v>7</v>
      </c>
      <c r="O100" s="17" t="s">
        <v>55</v>
      </c>
      <c r="P100" s="20" t="s">
        <v>38</v>
      </c>
      <c r="Q100" s="17"/>
      <c r="R100" s="33">
        <v>1565000</v>
      </c>
      <c r="S100" s="22">
        <f>R100</f>
        <v>1565000</v>
      </c>
      <c r="T100" s="22">
        <v>5</v>
      </c>
      <c r="U100" s="22">
        <f t="shared" si="2"/>
        <v>7825000</v>
      </c>
      <c r="V100" s="30" t="s">
        <v>517</v>
      </c>
      <c r="W100" s="30" t="s">
        <v>518</v>
      </c>
      <c r="X100" s="30" t="s">
        <v>519</v>
      </c>
      <c r="Y100" s="17" t="s">
        <v>520</v>
      </c>
    </row>
    <row r="101" spans="1:25" ht="29.25" customHeight="1" x14ac:dyDescent="0.25">
      <c r="A101" s="17">
        <v>93</v>
      </c>
      <c r="B101" s="17">
        <v>7</v>
      </c>
      <c r="C101" s="17">
        <v>709</v>
      </c>
      <c r="D101" s="17">
        <v>657</v>
      </c>
      <c r="E101" s="30" t="s">
        <v>521</v>
      </c>
      <c r="F101" s="27" t="s">
        <v>522</v>
      </c>
      <c r="G101" s="17">
        <v>66</v>
      </c>
      <c r="H101" s="17" t="s">
        <v>82</v>
      </c>
      <c r="I101" s="20" t="s">
        <v>493</v>
      </c>
      <c r="J101" s="20">
        <v>7760101</v>
      </c>
      <c r="K101" s="20">
        <v>7</v>
      </c>
      <c r="L101" s="17" t="s">
        <v>494</v>
      </c>
      <c r="M101" s="17">
        <v>3</v>
      </c>
      <c r="N101" s="20">
        <v>7</v>
      </c>
      <c r="O101" s="17" t="s">
        <v>55</v>
      </c>
      <c r="P101" s="20" t="s">
        <v>38</v>
      </c>
      <c r="Q101" s="17"/>
      <c r="R101" s="33">
        <v>1565000</v>
      </c>
      <c r="S101" s="22">
        <f>R101</f>
        <v>1565000</v>
      </c>
      <c r="T101" s="22">
        <v>5</v>
      </c>
      <c r="U101" s="22">
        <f t="shared" si="2"/>
        <v>7825000</v>
      </c>
      <c r="V101" s="30" t="s">
        <v>523</v>
      </c>
      <c r="W101" s="30" t="s">
        <v>524</v>
      </c>
      <c r="X101" s="30" t="s">
        <v>525</v>
      </c>
      <c r="Y101" s="17" t="s">
        <v>102</v>
      </c>
    </row>
    <row r="102" spans="1:25" ht="29.25" customHeight="1" x14ac:dyDescent="0.25">
      <c r="A102" s="17">
        <v>94</v>
      </c>
      <c r="B102" s="17">
        <v>8</v>
      </c>
      <c r="C102" s="17">
        <v>710</v>
      </c>
      <c r="D102" s="17">
        <v>658</v>
      </c>
      <c r="E102" s="30" t="s">
        <v>526</v>
      </c>
      <c r="F102" s="27" t="s">
        <v>527</v>
      </c>
      <c r="G102" s="17">
        <v>66</v>
      </c>
      <c r="H102" s="17" t="s">
        <v>82</v>
      </c>
      <c r="I102" s="20" t="s">
        <v>493</v>
      </c>
      <c r="J102" s="20">
        <v>7760101</v>
      </c>
      <c r="K102" s="20">
        <v>7</v>
      </c>
      <c r="L102" s="17" t="s">
        <v>494</v>
      </c>
      <c r="M102" s="17">
        <v>3</v>
      </c>
      <c r="N102" s="20">
        <v>7</v>
      </c>
      <c r="O102" s="20" t="s">
        <v>62</v>
      </c>
      <c r="P102" s="20" t="s">
        <v>38</v>
      </c>
      <c r="Q102" s="17" t="s">
        <v>189</v>
      </c>
      <c r="R102" s="33">
        <v>1565000</v>
      </c>
      <c r="S102" s="22">
        <f>R102</f>
        <v>1565000</v>
      </c>
      <c r="T102" s="22">
        <v>5</v>
      </c>
      <c r="U102" s="22">
        <f t="shared" si="2"/>
        <v>7825000</v>
      </c>
      <c r="V102" s="30" t="s">
        <v>528</v>
      </c>
      <c r="W102" s="30" t="s">
        <v>529</v>
      </c>
      <c r="X102" s="17">
        <v>5141138857</v>
      </c>
      <c r="Y102" s="17" t="s">
        <v>42</v>
      </c>
    </row>
    <row r="103" spans="1:25" ht="29.25" customHeight="1" x14ac:dyDescent="0.25">
      <c r="A103" s="17">
        <v>95</v>
      </c>
      <c r="B103" s="17">
        <v>9</v>
      </c>
      <c r="C103" s="17">
        <v>711</v>
      </c>
      <c r="D103" s="17">
        <v>659</v>
      </c>
      <c r="E103" s="30" t="s">
        <v>530</v>
      </c>
      <c r="F103" s="27" t="s">
        <v>531</v>
      </c>
      <c r="G103" s="17">
        <v>66</v>
      </c>
      <c r="H103" s="17" t="s">
        <v>82</v>
      </c>
      <c r="I103" s="20" t="s">
        <v>493</v>
      </c>
      <c r="J103" s="20">
        <v>7760101</v>
      </c>
      <c r="K103" s="20">
        <v>7</v>
      </c>
      <c r="L103" s="17" t="s">
        <v>494</v>
      </c>
      <c r="M103" s="17">
        <v>3</v>
      </c>
      <c r="N103" s="20">
        <v>7</v>
      </c>
      <c r="O103" s="20" t="s">
        <v>75</v>
      </c>
      <c r="P103" s="20" t="s">
        <v>76</v>
      </c>
      <c r="Q103" s="17" t="s">
        <v>69</v>
      </c>
      <c r="R103" s="33">
        <v>1565000</v>
      </c>
      <c r="S103" s="22">
        <f>R103*70%</f>
        <v>1095500</v>
      </c>
      <c r="T103" s="22">
        <v>5</v>
      </c>
      <c r="U103" s="22">
        <f t="shared" si="2"/>
        <v>5477500</v>
      </c>
      <c r="V103" s="30" t="s">
        <v>532</v>
      </c>
      <c r="W103" s="30" t="s">
        <v>533</v>
      </c>
      <c r="X103" s="30" t="s">
        <v>534</v>
      </c>
      <c r="Y103" s="17" t="s">
        <v>52</v>
      </c>
    </row>
    <row r="104" spans="1:25" ht="29.25" customHeight="1" x14ac:dyDescent="0.25">
      <c r="A104" s="17">
        <v>96</v>
      </c>
      <c r="B104" s="17">
        <v>10</v>
      </c>
      <c r="C104" s="17">
        <v>345</v>
      </c>
      <c r="D104" s="17">
        <v>301</v>
      </c>
      <c r="E104" s="17" t="s">
        <v>535</v>
      </c>
      <c r="F104" s="27" t="s">
        <v>536</v>
      </c>
      <c r="G104" s="17">
        <v>63</v>
      </c>
      <c r="H104" s="17" t="s">
        <v>45</v>
      </c>
      <c r="I104" s="17" t="s">
        <v>537</v>
      </c>
      <c r="J104" s="17">
        <v>7310201</v>
      </c>
      <c r="K104" s="17">
        <v>7</v>
      </c>
      <c r="L104" s="17" t="s">
        <v>494</v>
      </c>
      <c r="M104" s="17">
        <v>3</v>
      </c>
      <c r="N104" s="17">
        <v>7</v>
      </c>
      <c r="O104" s="17" t="s">
        <v>75</v>
      </c>
      <c r="P104" s="17" t="s">
        <v>76</v>
      </c>
      <c r="Q104" s="17" t="s">
        <v>69</v>
      </c>
      <c r="R104" s="22">
        <v>1565000</v>
      </c>
      <c r="S104" s="22">
        <f>R104*70%</f>
        <v>1095500</v>
      </c>
      <c r="T104" s="22">
        <v>5</v>
      </c>
      <c r="U104" s="22">
        <f t="shared" si="2"/>
        <v>5477500</v>
      </c>
      <c r="V104" s="17" t="s">
        <v>538</v>
      </c>
      <c r="W104" s="17" t="s">
        <v>539</v>
      </c>
      <c r="X104" s="17" t="s">
        <v>540</v>
      </c>
      <c r="Y104" s="17" t="s">
        <v>42</v>
      </c>
    </row>
    <row r="105" spans="1:25" ht="29.25" customHeight="1" x14ac:dyDescent="0.25">
      <c r="A105" s="17">
        <v>97</v>
      </c>
      <c r="B105" s="17">
        <v>11</v>
      </c>
      <c r="C105" s="38">
        <v>665</v>
      </c>
      <c r="D105" s="38">
        <v>613</v>
      </c>
      <c r="E105" s="32" t="s">
        <v>541</v>
      </c>
      <c r="F105" s="39" t="s">
        <v>542</v>
      </c>
      <c r="G105" s="38">
        <v>63</v>
      </c>
      <c r="H105" s="38" t="s">
        <v>45</v>
      </c>
      <c r="I105" s="17" t="s">
        <v>537</v>
      </c>
      <c r="J105" s="17">
        <v>7310201</v>
      </c>
      <c r="K105" s="17">
        <v>7</v>
      </c>
      <c r="L105" s="17" t="s">
        <v>494</v>
      </c>
      <c r="M105" s="38">
        <v>3</v>
      </c>
      <c r="N105" s="17">
        <v>7</v>
      </c>
      <c r="O105" s="17" t="s">
        <v>75</v>
      </c>
      <c r="P105" s="38" t="s">
        <v>76</v>
      </c>
      <c r="Q105" s="38" t="s">
        <v>543</v>
      </c>
      <c r="R105" s="22">
        <v>1565000</v>
      </c>
      <c r="S105" s="22">
        <f>R105*70%</f>
        <v>1095500</v>
      </c>
      <c r="T105" s="22">
        <v>5</v>
      </c>
      <c r="U105" s="22">
        <f t="shared" si="2"/>
        <v>5477500</v>
      </c>
      <c r="V105" s="49">
        <v>40304025249</v>
      </c>
      <c r="W105" s="49" t="s">
        <v>544</v>
      </c>
      <c r="X105" s="49">
        <v>5107028019</v>
      </c>
      <c r="Y105" s="38" t="s">
        <v>42</v>
      </c>
    </row>
    <row r="106" spans="1:25" ht="29.25" customHeight="1" x14ac:dyDescent="0.25">
      <c r="A106" s="17">
        <v>98</v>
      </c>
      <c r="B106" s="17">
        <v>12</v>
      </c>
      <c r="C106" s="17">
        <v>450</v>
      </c>
      <c r="D106" s="17">
        <v>398</v>
      </c>
      <c r="E106" s="30" t="s">
        <v>545</v>
      </c>
      <c r="F106" s="27" t="s">
        <v>546</v>
      </c>
      <c r="G106" s="17">
        <v>64</v>
      </c>
      <c r="H106" s="17" t="s">
        <v>61</v>
      </c>
      <c r="I106" s="17" t="s">
        <v>537</v>
      </c>
      <c r="J106" s="17">
        <v>7310201</v>
      </c>
      <c r="K106" s="17">
        <v>7</v>
      </c>
      <c r="L106" s="17" t="s">
        <v>494</v>
      </c>
      <c r="M106" s="17">
        <v>3</v>
      </c>
      <c r="N106" s="17">
        <v>7</v>
      </c>
      <c r="O106" s="17" t="s">
        <v>75</v>
      </c>
      <c r="P106" s="17" t="s">
        <v>76</v>
      </c>
      <c r="Q106" s="17" t="s">
        <v>543</v>
      </c>
      <c r="R106" s="22">
        <v>1565000</v>
      </c>
      <c r="S106" s="22">
        <f>R106*70%</f>
        <v>1095500</v>
      </c>
      <c r="T106" s="22">
        <v>5</v>
      </c>
      <c r="U106" s="22">
        <f t="shared" si="2"/>
        <v>5477500</v>
      </c>
      <c r="V106" s="30" t="s">
        <v>547</v>
      </c>
      <c r="W106" s="30" t="s">
        <v>548</v>
      </c>
      <c r="X106" s="51">
        <v>101879835161</v>
      </c>
      <c r="Y106" s="17" t="s">
        <v>52</v>
      </c>
    </row>
    <row r="107" spans="1:25" ht="29.25" customHeight="1" x14ac:dyDescent="0.25">
      <c r="A107" s="17">
        <v>99</v>
      </c>
      <c r="B107" s="17">
        <v>13</v>
      </c>
      <c r="C107" s="17">
        <v>543</v>
      </c>
      <c r="D107" s="17">
        <v>491</v>
      </c>
      <c r="E107" s="30" t="s">
        <v>549</v>
      </c>
      <c r="F107" s="27" t="s">
        <v>67</v>
      </c>
      <c r="G107" s="17">
        <v>64</v>
      </c>
      <c r="H107" s="17" t="s">
        <v>61</v>
      </c>
      <c r="I107" s="17" t="s">
        <v>537</v>
      </c>
      <c r="J107" s="17">
        <v>7310201</v>
      </c>
      <c r="K107" s="17">
        <v>7</v>
      </c>
      <c r="L107" s="17" t="s">
        <v>494</v>
      </c>
      <c r="M107" s="17">
        <v>3</v>
      </c>
      <c r="N107" s="17">
        <v>7</v>
      </c>
      <c r="O107" s="17" t="s">
        <v>62</v>
      </c>
      <c r="P107" s="17" t="s">
        <v>38</v>
      </c>
      <c r="Q107" s="17" t="s">
        <v>69</v>
      </c>
      <c r="R107" s="22">
        <v>1565000</v>
      </c>
      <c r="S107" s="22">
        <f>R107</f>
        <v>1565000</v>
      </c>
      <c r="T107" s="22">
        <v>5</v>
      </c>
      <c r="U107" s="22">
        <f t="shared" si="2"/>
        <v>7825000</v>
      </c>
      <c r="V107" s="30" t="s">
        <v>550</v>
      </c>
      <c r="W107" s="30" t="s">
        <v>551</v>
      </c>
      <c r="X107" s="30" t="s">
        <v>552</v>
      </c>
      <c r="Y107" s="17" t="s">
        <v>52</v>
      </c>
    </row>
    <row r="108" spans="1:25" ht="29.25" customHeight="1" x14ac:dyDescent="0.25">
      <c r="A108" s="17">
        <v>100</v>
      </c>
      <c r="B108" s="17">
        <v>14</v>
      </c>
      <c r="C108" s="17">
        <v>565</v>
      </c>
      <c r="D108" s="17">
        <v>513</v>
      </c>
      <c r="E108" s="17" t="s">
        <v>553</v>
      </c>
      <c r="F108" s="27" t="s">
        <v>554</v>
      </c>
      <c r="G108" s="17">
        <v>65</v>
      </c>
      <c r="H108" s="17" t="s">
        <v>68</v>
      </c>
      <c r="I108" s="17" t="s">
        <v>537</v>
      </c>
      <c r="J108" s="17">
        <v>7310201</v>
      </c>
      <c r="K108" s="17">
        <v>7</v>
      </c>
      <c r="L108" s="17" t="s">
        <v>494</v>
      </c>
      <c r="M108" s="17">
        <v>3</v>
      </c>
      <c r="N108" s="17">
        <v>7</v>
      </c>
      <c r="O108" s="17" t="s">
        <v>116</v>
      </c>
      <c r="P108" s="17" t="s">
        <v>38</v>
      </c>
      <c r="Q108" s="17"/>
      <c r="R108" s="22">
        <v>1565000</v>
      </c>
      <c r="S108" s="22">
        <f>R108</f>
        <v>1565000</v>
      </c>
      <c r="T108" s="22">
        <v>5</v>
      </c>
      <c r="U108" s="22">
        <f t="shared" si="2"/>
        <v>7825000</v>
      </c>
      <c r="V108" s="30" t="s">
        <v>555</v>
      </c>
      <c r="W108" s="30" t="s">
        <v>556</v>
      </c>
      <c r="X108" s="30" t="s">
        <v>557</v>
      </c>
      <c r="Y108" s="17" t="s">
        <v>449</v>
      </c>
    </row>
    <row r="109" spans="1:25" ht="29.25" customHeight="1" x14ac:dyDescent="0.25">
      <c r="A109" s="17">
        <v>101</v>
      </c>
      <c r="B109" s="17">
        <v>15</v>
      </c>
      <c r="C109" s="17">
        <v>566</v>
      </c>
      <c r="D109" s="17">
        <v>514</v>
      </c>
      <c r="E109" s="30" t="s">
        <v>558</v>
      </c>
      <c r="F109" s="27" t="s">
        <v>559</v>
      </c>
      <c r="G109" s="17">
        <v>65</v>
      </c>
      <c r="H109" s="17" t="s">
        <v>68</v>
      </c>
      <c r="I109" s="17" t="s">
        <v>537</v>
      </c>
      <c r="J109" s="17">
        <v>7310201</v>
      </c>
      <c r="K109" s="17">
        <v>7</v>
      </c>
      <c r="L109" s="17" t="s">
        <v>494</v>
      </c>
      <c r="M109" s="17">
        <v>3</v>
      </c>
      <c r="N109" s="17">
        <v>7</v>
      </c>
      <c r="O109" s="17" t="s">
        <v>75</v>
      </c>
      <c r="P109" s="17" t="s">
        <v>76</v>
      </c>
      <c r="Q109" s="17" t="s">
        <v>213</v>
      </c>
      <c r="R109" s="22">
        <v>1565000</v>
      </c>
      <c r="S109" s="22">
        <f>R109*70%</f>
        <v>1095500</v>
      </c>
      <c r="T109" s="22">
        <v>5</v>
      </c>
      <c r="U109" s="22">
        <f t="shared" si="2"/>
        <v>5477500</v>
      </c>
      <c r="V109" s="30" t="s">
        <v>560</v>
      </c>
      <c r="W109" s="30" t="s">
        <v>561</v>
      </c>
      <c r="X109" s="30" t="s">
        <v>562</v>
      </c>
      <c r="Y109" s="17" t="s">
        <v>449</v>
      </c>
    </row>
    <row r="110" spans="1:25" ht="29.25" customHeight="1" x14ac:dyDescent="0.25">
      <c r="A110" s="17">
        <v>102</v>
      </c>
      <c r="B110" s="17">
        <v>16</v>
      </c>
      <c r="C110" s="17">
        <v>567</v>
      </c>
      <c r="D110" s="17">
        <v>515</v>
      </c>
      <c r="E110" s="30" t="s">
        <v>563</v>
      </c>
      <c r="F110" s="27" t="s">
        <v>564</v>
      </c>
      <c r="G110" s="17">
        <v>65</v>
      </c>
      <c r="H110" s="17" t="s">
        <v>68</v>
      </c>
      <c r="I110" s="17" t="s">
        <v>537</v>
      </c>
      <c r="J110" s="17">
        <v>7310201</v>
      </c>
      <c r="K110" s="17">
        <v>7</v>
      </c>
      <c r="L110" s="17" t="s">
        <v>494</v>
      </c>
      <c r="M110" s="17">
        <v>3</v>
      </c>
      <c r="N110" s="17">
        <v>7</v>
      </c>
      <c r="O110" s="17" t="s">
        <v>62</v>
      </c>
      <c r="P110" s="17" t="s">
        <v>38</v>
      </c>
      <c r="Q110" s="17" t="s">
        <v>69</v>
      </c>
      <c r="R110" s="22">
        <v>1565000</v>
      </c>
      <c r="S110" s="22">
        <f>R110</f>
        <v>1565000</v>
      </c>
      <c r="T110" s="22">
        <v>5</v>
      </c>
      <c r="U110" s="22">
        <f t="shared" si="2"/>
        <v>7825000</v>
      </c>
      <c r="V110" s="30" t="s">
        <v>565</v>
      </c>
      <c r="W110" s="30" t="s">
        <v>566</v>
      </c>
      <c r="X110" s="30" t="s">
        <v>567</v>
      </c>
      <c r="Y110" s="17" t="s">
        <v>102</v>
      </c>
    </row>
    <row r="111" spans="1:25" ht="29.25" customHeight="1" x14ac:dyDescent="0.25">
      <c r="A111" s="17">
        <v>103</v>
      </c>
      <c r="B111" s="17">
        <v>17</v>
      </c>
      <c r="C111" s="17">
        <v>703</v>
      </c>
      <c r="D111" s="17">
        <v>651</v>
      </c>
      <c r="E111" s="30" t="s">
        <v>568</v>
      </c>
      <c r="F111" s="27" t="s">
        <v>569</v>
      </c>
      <c r="G111" s="17">
        <v>66</v>
      </c>
      <c r="H111" s="17" t="s">
        <v>82</v>
      </c>
      <c r="I111" s="20" t="s">
        <v>537</v>
      </c>
      <c r="J111" s="20">
        <v>7310201</v>
      </c>
      <c r="K111" s="20">
        <v>7</v>
      </c>
      <c r="L111" s="17" t="s">
        <v>494</v>
      </c>
      <c r="M111" s="17">
        <v>3</v>
      </c>
      <c r="N111" s="20">
        <v>7</v>
      </c>
      <c r="O111" s="17" t="s">
        <v>47</v>
      </c>
      <c r="P111" s="17" t="s">
        <v>48</v>
      </c>
      <c r="Q111" s="17"/>
      <c r="R111" s="33">
        <v>1565000</v>
      </c>
      <c r="S111" s="22">
        <f>50%*R111</f>
        <v>782500</v>
      </c>
      <c r="T111" s="22">
        <v>5</v>
      </c>
      <c r="U111" s="22">
        <f t="shared" si="2"/>
        <v>3912500</v>
      </c>
      <c r="V111" s="30" t="s">
        <v>570</v>
      </c>
      <c r="W111" s="30" t="s">
        <v>571</v>
      </c>
      <c r="X111" s="30" t="s">
        <v>572</v>
      </c>
      <c r="Y111" s="17" t="s">
        <v>52</v>
      </c>
    </row>
    <row r="112" spans="1:25" ht="29.25" customHeight="1" x14ac:dyDescent="0.25">
      <c r="A112" s="17">
        <v>104</v>
      </c>
      <c r="B112" s="17">
        <v>18</v>
      </c>
      <c r="C112" s="17">
        <v>563</v>
      </c>
      <c r="D112" s="17">
        <v>511</v>
      </c>
      <c r="E112" s="17" t="s">
        <v>573</v>
      </c>
      <c r="F112" s="27" t="s">
        <v>574</v>
      </c>
      <c r="G112" s="17">
        <v>63</v>
      </c>
      <c r="H112" s="17" t="s">
        <v>200</v>
      </c>
      <c r="I112" s="17" t="s">
        <v>575</v>
      </c>
      <c r="J112" s="17">
        <v>7380101</v>
      </c>
      <c r="K112" s="17">
        <v>3</v>
      </c>
      <c r="L112" s="17" t="s">
        <v>494</v>
      </c>
      <c r="M112" s="17">
        <v>3</v>
      </c>
      <c r="N112" s="17">
        <v>3</v>
      </c>
      <c r="O112" s="17" t="s">
        <v>116</v>
      </c>
      <c r="P112" s="17" t="s">
        <v>38</v>
      </c>
      <c r="Q112" s="17"/>
      <c r="R112" s="22">
        <v>1565000</v>
      </c>
      <c r="S112" s="22">
        <f>R112</f>
        <v>1565000</v>
      </c>
      <c r="T112" s="22">
        <v>5</v>
      </c>
      <c r="U112" s="22">
        <f t="shared" si="2"/>
        <v>7825000</v>
      </c>
      <c r="V112" s="22" t="s">
        <v>576</v>
      </c>
      <c r="W112" s="17" t="s">
        <v>577</v>
      </c>
      <c r="X112" s="30" t="s">
        <v>578</v>
      </c>
      <c r="Y112" s="17" t="s">
        <v>42</v>
      </c>
    </row>
    <row r="113" spans="1:25" ht="29.25" customHeight="1" x14ac:dyDescent="0.25">
      <c r="A113" s="17">
        <v>105</v>
      </c>
      <c r="B113" s="17">
        <v>19</v>
      </c>
      <c r="C113" s="17">
        <v>580</v>
      </c>
      <c r="D113" s="17">
        <v>528</v>
      </c>
      <c r="E113" s="30" t="s">
        <v>579</v>
      </c>
      <c r="F113" s="27" t="s">
        <v>580</v>
      </c>
      <c r="G113" s="17">
        <v>63</v>
      </c>
      <c r="H113" s="17" t="s">
        <v>200</v>
      </c>
      <c r="I113" s="17" t="s">
        <v>575</v>
      </c>
      <c r="J113" s="17">
        <v>7380101</v>
      </c>
      <c r="K113" s="17">
        <v>3</v>
      </c>
      <c r="L113" s="17" t="s">
        <v>494</v>
      </c>
      <c r="M113" s="17">
        <v>3</v>
      </c>
      <c r="N113" s="17">
        <v>3</v>
      </c>
      <c r="O113" s="17" t="s">
        <v>75</v>
      </c>
      <c r="P113" s="17" t="s">
        <v>76</v>
      </c>
      <c r="Q113" s="17" t="s">
        <v>69</v>
      </c>
      <c r="R113" s="22">
        <v>1565000</v>
      </c>
      <c r="S113" s="22">
        <f>R113*70%</f>
        <v>1095500</v>
      </c>
      <c r="T113" s="22">
        <v>5</v>
      </c>
      <c r="U113" s="22">
        <f t="shared" si="2"/>
        <v>5477500</v>
      </c>
      <c r="V113" s="30" t="s">
        <v>581</v>
      </c>
      <c r="W113" s="30" t="s">
        <v>582</v>
      </c>
      <c r="X113" s="30" t="s">
        <v>583</v>
      </c>
      <c r="Y113" s="17" t="s">
        <v>584</v>
      </c>
    </row>
    <row r="114" spans="1:25" ht="29.25" customHeight="1" x14ac:dyDescent="0.25">
      <c r="A114" s="17">
        <v>106</v>
      </c>
      <c r="B114" s="17">
        <v>20</v>
      </c>
      <c r="C114" s="17">
        <v>464</v>
      </c>
      <c r="D114" s="17">
        <v>412</v>
      </c>
      <c r="E114" s="17" t="s">
        <v>585</v>
      </c>
      <c r="F114" s="27" t="s">
        <v>267</v>
      </c>
      <c r="G114" s="17">
        <v>64</v>
      </c>
      <c r="H114" s="17" t="s">
        <v>219</v>
      </c>
      <c r="I114" s="17" t="s">
        <v>575</v>
      </c>
      <c r="J114" s="17">
        <v>7380101</v>
      </c>
      <c r="K114" s="17">
        <v>3</v>
      </c>
      <c r="L114" s="17" t="s">
        <v>494</v>
      </c>
      <c r="M114" s="17">
        <v>3</v>
      </c>
      <c r="N114" s="17">
        <v>3</v>
      </c>
      <c r="O114" s="17" t="s">
        <v>62</v>
      </c>
      <c r="P114" s="17" t="s">
        <v>38</v>
      </c>
      <c r="Q114" s="17" t="s">
        <v>586</v>
      </c>
      <c r="R114" s="22">
        <v>1565000</v>
      </c>
      <c r="S114" s="22">
        <f>R114</f>
        <v>1565000</v>
      </c>
      <c r="T114" s="22">
        <v>5</v>
      </c>
      <c r="U114" s="22">
        <f t="shared" si="2"/>
        <v>7825000</v>
      </c>
      <c r="V114" s="30" t="s">
        <v>587</v>
      </c>
      <c r="W114" s="30" t="s">
        <v>588</v>
      </c>
      <c r="X114" s="17" t="s">
        <v>589</v>
      </c>
      <c r="Y114" s="17" t="s">
        <v>52</v>
      </c>
    </row>
    <row r="115" spans="1:25" ht="29.25" customHeight="1" x14ac:dyDescent="0.25">
      <c r="A115" s="17">
        <v>107</v>
      </c>
      <c r="B115" s="17">
        <v>21</v>
      </c>
      <c r="C115" s="17">
        <v>465</v>
      </c>
      <c r="D115" s="17">
        <v>413</v>
      </c>
      <c r="E115" s="17" t="s">
        <v>590</v>
      </c>
      <c r="F115" s="27" t="s">
        <v>591</v>
      </c>
      <c r="G115" s="17">
        <v>64</v>
      </c>
      <c r="H115" s="17" t="s">
        <v>219</v>
      </c>
      <c r="I115" s="17" t="s">
        <v>575</v>
      </c>
      <c r="J115" s="17">
        <v>7380101</v>
      </c>
      <c r="K115" s="17">
        <v>3</v>
      </c>
      <c r="L115" s="17" t="s">
        <v>494</v>
      </c>
      <c r="M115" s="17">
        <v>3</v>
      </c>
      <c r="N115" s="17">
        <v>3</v>
      </c>
      <c r="O115" s="17" t="s">
        <v>75</v>
      </c>
      <c r="P115" s="17" t="s">
        <v>76</v>
      </c>
      <c r="Q115" s="17" t="s">
        <v>586</v>
      </c>
      <c r="R115" s="22">
        <v>1565000</v>
      </c>
      <c r="S115" s="22">
        <f>R115*70%</f>
        <v>1095500</v>
      </c>
      <c r="T115" s="22">
        <v>5</v>
      </c>
      <c r="U115" s="22">
        <f t="shared" si="2"/>
        <v>5477500</v>
      </c>
      <c r="V115" s="30" t="s">
        <v>592</v>
      </c>
      <c r="W115" s="30" t="s">
        <v>593</v>
      </c>
      <c r="X115" s="17" t="s">
        <v>594</v>
      </c>
      <c r="Y115" s="17" t="s">
        <v>310</v>
      </c>
    </row>
    <row r="116" spans="1:25" ht="29.25" customHeight="1" x14ac:dyDescent="0.25">
      <c r="A116" s="17">
        <v>108</v>
      </c>
      <c r="B116" s="17">
        <v>22</v>
      </c>
      <c r="C116" s="17">
        <v>467</v>
      </c>
      <c r="D116" s="17">
        <v>415</v>
      </c>
      <c r="E116" s="17" t="s">
        <v>595</v>
      </c>
      <c r="F116" s="27" t="s">
        <v>596</v>
      </c>
      <c r="G116" s="17">
        <v>64</v>
      </c>
      <c r="H116" s="17" t="s">
        <v>246</v>
      </c>
      <c r="I116" s="17" t="s">
        <v>575</v>
      </c>
      <c r="J116" s="17">
        <v>7380101</v>
      </c>
      <c r="K116" s="17">
        <v>3</v>
      </c>
      <c r="L116" s="17" t="s">
        <v>494</v>
      </c>
      <c r="M116" s="17">
        <v>3</v>
      </c>
      <c r="N116" s="17">
        <v>3</v>
      </c>
      <c r="O116" s="17" t="s">
        <v>55</v>
      </c>
      <c r="P116" s="17" t="s">
        <v>38</v>
      </c>
      <c r="Q116" s="17"/>
      <c r="R116" s="22">
        <v>1565000</v>
      </c>
      <c r="S116" s="22">
        <f>R116</f>
        <v>1565000</v>
      </c>
      <c r="T116" s="22">
        <v>5</v>
      </c>
      <c r="U116" s="22">
        <f t="shared" si="2"/>
        <v>7825000</v>
      </c>
      <c r="V116" s="30" t="s">
        <v>597</v>
      </c>
      <c r="W116" s="30" t="s">
        <v>598</v>
      </c>
      <c r="X116" s="17" t="s">
        <v>599</v>
      </c>
      <c r="Y116" s="17" t="s">
        <v>600</v>
      </c>
    </row>
    <row r="117" spans="1:25" ht="29.25" customHeight="1" x14ac:dyDescent="0.25">
      <c r="A117" s="17">
        <v>109</v>
      </c>
      <c r="B117" s="17">
        <v>23</v>
      </c>
      <c r="C117" s="17">
        <v>468</v>
      </c>
      <c r="D117" s="17">
        <v>416</v>
      </c>
      <c r="E117" s="17" t="s">
        <v>601</v>
      </c>
      <c r="F117" s="27" t="s">
        <v>602</v>
      </c>
      <c r="G117" s="17">
        <v>64</v>
      </c>
      <c r="H117" s="17" t="s">
        <v>246</v>
      </c>
      <c r="I117" s="17" t="s">
        <v>575</v>
      </c>
      <c r="J117" s="17">
        <v>7380101</v>
      </c>
      <c r="K117" s="17">
        <v>3</v>
      </c>
      <c r="L117" s="17" t="s">
        <v>494</v>
      </c>
      <c r="M117" s="17">
        <v>3</v>
      </c>
      <c r="N117" s="17">
        <v>3</v>
      </c>
      <c r="O117" s="17" t="s">
        <v>62</v>
      </c>
      <c r="P117" s="17" t="s">
        <v>38</v>
      </c>
      <c r="Q117" s="17" t="s">
        <v>213</v>
      </c>
      <c r="R117" s="22">
        <v>1565000</v>
      </c>
      <c r="S117" s="22">
        <f>R117</f>
        <v>1565000</v>
      </c>
      <c r="T117" s="22">
        <v>5</v>
      </c>
      <c r="U117" s="22">
        <f t="shared" si="2"/>
        <v>7825000</v>
      </c>
      <c r="V117" s="30" t="s">
        <v>603</v>
      </c>
      <c r="W117" s="30" t="s">
        <v>604</v>
      </c>
      <c r="X117" s="17" t="s">
        <v>605</v>
      </c>
      <c r="Y117" s="17" t="s">
        <v>42</v>
      </c>
    </row>
    <row r="118" spans="1:25" ht="29.25" customHeight="1" x14ac:dyDescent="0.25">
      <c r="A118" s="17">
        <v>110</v>
      </c>
      <c r="B118" s="17">
        <v>24</v>
      </c>
      <c r="C118" s="17">
        <v>469</v>
      </c>
      <c r="D118" s="17">
        <v>417</v>
      </c>
      <c r="E118" s="17" t="s">
        <v>606</v>
      </c>
      <c r="F118" s="27" t="s">
        <v>607</v>
      </c>
      <c r="G118" s="17">
        <v>64</v>
      </c>
      <c r="H118" s="17" t="s">
        <v>246</v>
      </c>
      <c r="I118" s="17" t="s">
        <v>575</v>
      </c>
      <c r="J118" s="17">
        <v>7380101</v>
      </c>
      <c r="K118" s="17">
        <v>3</v>
      </c>
      <c r="L118" s="17" t="s">
        <v>494</v>
      </c>
      <c r="M118" s="17">
        <v>3</v>
      </c>
      <c r="N118" s="17">
        <v>3</v>
      </c>
      <c r="O118" s="17" t="s">
        <v>75</v>
      </c>
      <c r="P118" s="17" t="s">
        <v>76</v>
      </c>
      <c r="Q118" s="17" t="s">
        <v>69</v>
      </c>
      <c r="R118" s="22">
        <v>1565000</v>
      </c>
      <c r="S118" s="22">
        <f>R118*70%</f>
        <v>1095500</v>
      </c>
      <c r="T118" s="22">
        <v>5</v>
      </c>
      <c r="U118" s="22">
        <f t="shared" si="2"/>
        <v>5477500</v>
      </c>
      <c r="V118" s="30" t="s">
        <v>608</v>
      </c>
      <c r="W118" s="30" t="s">
        <v>609</v>
      </c>
      <c r="X118" s="17" t="s">
        <v>609</v>
      </c>
      <c r="Y118" s="17" t="s">
        <v>584</v>
      </c>
    </row>
    <row r="119" spans="1:25" ht="29.25" customHeight="1" x14ac:dyDescent="0.25">
      <c r="A119" s="17">
        <v>111</v>
      </c>
      <c r="B119" s="17">
        <v>25</v>
      </c>
      <c r="C119" s="17">
        <v>470</v>
      </c>
      <c r="D119" s="17">
        <v>418</v>
      </c>
      <c r="E119" s="17" t="s">
        <v>610</v>
      </c>
      <c r="F119" s="27" t="s">
        <v>611</v>
      </c>
      <c r="G119" s="17">
        <v>64</v>
      </c>
      <c r="H119" s="17" t="s">
        <v>246</v>
      </c>
      <c r="I119" s="17" t="s">
        <v>575</v>
      </c>
      <c r="J119" s="17">
        <v>7380101</v>
      </c>
      <c r="K119" s="17">
        <v>3</v>
      </c>
      <c r="L119" s="17" t="s">
        <v>494</v>
      </c>
      <c r="M119" s="17">
        <v>3</v>
      </c>
      <c r="N119" s="17">
        <v>3</v>
      </c>
      <c r="O119" s="17" t="s">
        <v>116</v>
      </c>
      <c r="P119" s="17" t="s">
        <v>38</v>
      </c>
      <c r="Q119" s="17"/>
      <c r="R119" s="22">
        <v>1565000</v>
      </c>
      <c r="S119" s="22">
        <f>R119</f>
        <v>1565000</v>
      </c>
      <c r="T119" s="22">
        <v>5</v>
      </c>
      <c r="U119" s="22">
        <f t="shared" si="2"/>
        <v>7825000</v>
      </c>
      <c r="V119" s="30" t="s">
        <v>612</v>
      </c>
      <c r="W119" s="30" t="s">
        <v>613</v>
      </c>
      <c r="X119" s="17" t="s">
        <v>614</v>
      </c>
      <c r="Y119" s="17" t="s">
        <v>102</v>
      </c>
    </row>
    <row r="120" spans="1:25" ht="29.25" customHeight="1" x14ac:dyDescent="0.25">
      <c r="A120" s="17">
        <v>112</v>
      </c>
      <c r="B120" s="17">
        <v>26</v>
      </c>
      <c r="C120" s="17">
        <v>581</v>
      </c>
      <c r="D120" s="17">
        <v>529</v>
      </c>
      <c r="E120" s="30" t="s">
        <v>615</v>
      </c>
      <c r="F120" s="27" t="s">
        <v>616</v>
      </c>
      <c r="G120" s="17">
        <v>65</v>
      </c>
      <c r="H120" s="17" t="s">
        <v>418</v>
      </c>
      <c r="I120" s="17" t="s">
        <v>575</v>
      </c>
      <c r="J120" s="17">
        <v>7380101</v>
      </c>
      <c r="K120" s="17">
        <v>3</v>
      </c>
      <c r="L120" s="17" t="s">
        <v>494</v>
      </c>
      <c r="M120" s="17">
        <v>3</v>
      </c>
      <c r="N120" s="17">
        <v>3</v>
      </c>
      <c r="O120" s="17" t="s">
        <v>55</v>
      </c>
      <c r="P120" s="17" t="s">
        <v>38</v>
      </c>
      <c r="Q120" s="17"/>
      <c r="R120" s="22">
        <v>1565000</v>
      </c>
      <c r="S120" s="22">
        <f>R120</f>
        <v>1565000</v>
      </c>
      <c r="T120" s="22">
        <v>5</v>
      </c>
      <c r="U120" s="22">
        <f t="shared" si="2"/>
        <v>7825000</v>
      </c>
      <c r="V120" s="30" t="s">
        <v>617</v>
      </c>
      <c r="W120" s="30" t="s">
        <v>618</v>
      </c>
      <c r="X120" s="30" t="s">
        <v>619</v>
      </c>
      <c r="Y120" s="17" t="s">
        <v>310</v>
      </c>
    </row>
    <row r="121" spans="1:25" ht="29.25" customHeight="1" x14ac:dyDescent="0.25">
      <c r="A121" s="17">
        <v>113</v>
      </c>
      <c r="B121" s="17">
        <v>27</v>
      </c>
      <c r="C121" s="17">
        <v>582</v>
      </c>
      <c r="D121" s="17">
        <v>530</v>
      </c>
      <c r="E121" s="30" t="s">
        <v>620</v>
      </c>
      <c r="F121" s="27" t="s">
        <v>621</v>
      </c>
      <c r="G121" s="17">
        <v>65</v>
      </c>
      <c r="H121" s="17" t="s">
        <v>418</v>
      </c>
      <c r="I121" s="17" t="s">
        <v>575</v>
      </c>
      <c r="J121" s="17">
        <v>7380101</v>
      </c>
      <c r="K121" s="17">
        <v>3</v>
      </c>
      <c r="L121" s="17" t="s">
        <v>494</v>
      </c>
      <c r="M121" s="17">
        <v>3</v>
      </c>
      <c r="N121" s="17">
        <v>3</v>
      </c>
      <c r="O121" s="17" t="s">
        <v>75</v>
      </c>
      <c r="P121" s="17" t="s">
        <v>76</v>
      </c>
      <c r="Q121" s="17" t="s">
        <v>622</v>
      </c>
      <c r="R121" s="22">
        <v>1565000</v>
      </c>
      <c r="S121" s="22">
        <f>R121*70%</f>
        <v>1095500</v>
      </c>
      <c r="T121" s="22">
        <v>5</v>
      </c>
      <c r="U121" s="22">
        <f t="shared" si="2"/>
        <v>5477500</v>
      </c>
      <c r="V121" s="30" t="s">
        <v>623</v>
      </c>
      <c r="W121" s="30" t="s">
        <v>624</v>
      </c>
      <c r="X121" s="30" t="s">
        <v>625</v>
      </c>
      <c r="Y121" s="17" t="s">
        <v>42</v>
      </c>
    </row>
    <row r="122" spans="1:25" ht="29.25" customHeight="1" x14ac:dyDescent="0.25">
      <c r="A122" s="17">
        <v>114</v>
      </c>
      <c r="B122" s="17">
        <v>28</v>
      </c>
      <c r="C122" s="17">
        <v>583</v>
      </c>
      <c r="D122" s="17">
        <v>531</v>
      </c>
      <c r="E122" s="30" t="s">
        <v>626</v>
      </c>
      <c r="F122" s="27" t="s">
        <v>627</v>
      </c>
      <c r="G122" s="17">
        <v>65</v>
      </c>
      <c r="H122" s="17" t="s">
        <v>279</v>
      </c>
      <c r="I122" s="17" t="s">
        <v>575</v>
      </c>
      <c r="J122" s="17">
        <v>7380101</v>
      </c>
      <c r="K122" s="17">
        <v>3</v>
      </c>
      <c r="L122" s="17" t="s">
        <v>494</v>
      </c>
      <c r="M122" s="17">
        <v>3</v>
      </c>
      <c r="N122" s="17">
        <v>3</v>
      </c>
      <c r="O122" s="17" t="s">
        <v>75</v>
      </c>
      <c r="P122" s="17" t="s">
        <v>76</v>
      </c>
      <c r="Q122" s="17" t="s">
        <v>69</v>
      </c>
      <c r="R122" s="22">
        <v>1565000</v>
      </c>
      <c r="S122" s="22">
        <f>R122*70%</f>
        <v>1095500</v>
      </c>
      <c r="T122" s="22">
        <v>5</v>
      </c>
      <c r="U122" s="22">
        <f t="shared" si="2"/>
        <v>5477500</v>
      </c>
      <c r="V122" s="30" t="s">
        <v>628</v>
      </c>
      <c r="W122" s="30" t="s">
        <v>629</v>
      </c>
      <c r="X122" s="30" t="s">
        <v>630</v>
      </c>
      <c r="Y122" s="17" t="s">
        <v>52</v>
      </c>
    </row>
    <row r="123" spans="1:25" ht="29.25" customHeight="1" x14ac:dyDescent="0.25">
      <c r="A123" s="17">
        <v>115</v>
      </c>
      <c r="B123" s="17">
        <v>29</v>
      </c>
      <c r="C123" s="17">
        <v>584</v>
      </c>
      <c r="D123" s="17">
        <v>532</v>
      </c>
      <c r="E123" s="30" t="s">
        <v>631</v>
      </c>
      <c r="F123" s="27" t="s">
        <v>632</v>
      </c>
      <c r="G123" s="17">
        <v>65</v>
      </c>
      <c r="H123" s="17" t="s">
        <v>279</v>
      </c>
      <c r="I123" s="17" t="s">
        <v>575</v>
      </c>
      <c r="J123" s="17">
        <v>7380101</v>
      </c>
      <c r="K123" s="17">
        <v>3</v>
      </c>
      <c r="L123" s="17" t="s">
        <v>494</v>
      </c>
      <c r="M123" s="17">
        <v>3</v>
      </c>
      <c r="N123" s="17">
        <v>3</v>
      </c>
      <c r="O123" s="17" t="s">
        <v>55</v>
      </c>
      <c r="P123" s="17" t="s">
        <v>38</v>
      </c>
      <c r="Q123" s="17"/>
      <c r="R123" s="22">
        <v>1565000</v>
      </c>
      <c r="S123" s="22">
        <f>R123</f>
        <v>1565000</v>
      </c>
      <c r="T123" s="22">
        <v>5</v>
      </c>
      <c r="U123" s="22">
        <f t="shared" si="2"/>
        <v>7825000</v>
      </c>
      <c r="V123" s="30" t="s">
        <v>633</v>
      </c>
      <c r="W123" s="30" t="s">
        <v>634</v>
      </c>
      <c r="X123" s="30" t="s">
        <v>635</v>
      </c>
      <c r="Y123" s="17" t="s">
        <v>102</v>
      </c>
    </row>
    <row r="124" spans="1:25" ht="29.25" customHeight="1" x14ac:dyDescent="0.25">
      <c r="A124" s="17">
        <v>116</v>
      </c>
      <c r="B124" s="17">
        <v>30</v>
      </c>
      <c r="C124" s="17">
        <v>590</v>
      </c>
      <c r="D124" s="17">
        <v>538</v>
      </c>
      <c r="E124" s="30" t="s">
        <v>636</v>
      </c>
      <c r="F124" s="27" t="s">
        <v>637</v>
      </c>
      <c r="G124" s="17">
        <v>65</v>
      </c>
      <c r="H124" s="17" t="s">
        <v>418</v>
      </c>
      <c r="I124" s="17" t="s">
        <v>575</v>
      </c>
      <c r="J124" s="17">
        <v>7380101</v>
      </c>
      <c r="K124" s="17">
        <v>3</v>
      </c>
      <c r="L124" s="17" t="s">
        <v>494</v>
      </c>
      <c r="M124" s="17">
        <v>3</v>
      </c>
      <c r="N124" s="17">
        <v>3</v>
      </c>
      <c r="O124" s="17" t="s">
        <v>75</v>
      </c>
      <c r="P124" s="17" t="s">
        <v>76</v>
      </c>
      <c r="Q124" s="17" t="s">
        <v>189</v>
      </c>
      <c r="R124" s="22">
        <v>1565000</v>
      </c>
      <c r="S124" s="22">
        <f>R124*70%</f>
        <v>1095500</v>
      </c>
      <c r="T124" s="22">
        <v>5</v>
      </c>
      <c r="U124" s="22">
        <f t="shared" si="2"/>
        <v>5477500</v>
      </c>
      <c r="V124" s="30" t="s">
        <v>638</v>
      </c>
      <c r="W124" s="30" t="s">
        <v>639</v>
      </c>
      <c r="X124" s="30" t="s">
        <v>640</v>
      </c>
      <c r="Y124" s="17" t="s">
        <v>52</v>
      </c>
    </row>
    <row r="125" spans="1:25" ht="29.25" customHeight="1" x14ac:dyDescent="0.25">
      <c r="A125" s="17">
        <v>117</v>
      </c>
      <c r="B125" s="17">
        <v>31</v>
      </c>
      <c r="C125" s="17">
        <v>617</v>
      </c>
      <c r="D125" s="17">
        <v>565</v>
      </c>
      <c r="E125" s="17" t="s">
        <v>641</v>
      </c>
      <c r="F125" s="27" t="s">
        <v>642</v>
      </c>
      <c r="G125" s="17">
        <v>65</v>
      </c>
      <c r="H125" s="17" t="s">
        <v>290</v>
      </c>
      <c r="I125" s="17" t="s">
        <v>575</v>
      </c>
      <c r="J125" s="17">
        <v>7380101</v>
      </c>
      <c r="K125" s="17">
        <v>3</v>
      </c>
      <c r="L125" s="17" t="s">
        <v>494</v>
      </c>
      <c r="M125" s="17">
        <v>3</v>
      </c>
      <c r="N125" s="17">
        <v>3</v>
      </c>
      <c r="O125" s="17" t="s">
        <v>75</v>
      </c>
      <c r="P125" s="17" t="s">
        <v>76</v>
      </c>
      <c r="Q125" s="17" t="s">
        <v>543</v>
      </c>
      <c r="R125" s="22">
        <v>1565000</v>
      </c>
      <c r="S125" s="22">
        <f>R125*70%</f>
        <v>1095500</v>
      </c>
      <c r="T125" s="22">
        <v>5</v>
      </c>
      <c r="U125" s="22">
        <f t="shared" si="2"/>
        <v>5477500</v>
      </c>
      <c r="V125" s="22" t="s">
        <v>643</v>
      </c>
      <c r="W125" s="22" t="s">
        <v>644</v>
      </c>
      <c r="X125" s="22" t="s">
        <v>645</v>
      </c>
      <c r="Y125" s="30" t="s">
        <v>646</v>
      </c>
    </row>
    <row r="126" spans="1:25" ht="29.25" customHeight="1" x14ac:dyDescent="0.25">
      <c r="A126" s="17">
        <v>118</v>
      </c>
      <c r="B126" s="17">
        <v>32</v>
      </c>
      <c r="C126" s="38">
        <v>668</v>
      </c>
      <c r="D126" s="38">
        <v>616</v>
      </c>
      <c r="E126" s="32" t="s">
        <v>647</v>
      </c>
      <c r="F126" s="39" t="s">
        <v>648</v>
      </c>
      <c r="G126" s="17">
        <v>65</v>
      </c>
      <c r="H126" s="17" t="s">
        <v>649</v>
      </c>
      <c r="I126" s="17" t="s">
        <v>575</v>
      </c>
      <c r="J126" s="17">
        <v>7380101</v>
      </c>
      <c r="K126" s="17">
        <v>3</v>
      </c>
      <c r="L126" s="17" t="s">
        <v>494</v>
      </c>
      <c r="M126" s="38">
        <v>3</v>
      </c>
      <c r="N126" s="17">
        <v>3</v>
      </c>
      <c r="O126" s="17" t="s">
        <v>75</v>
      </c>
      <c r="P126" s="17" t="s">
        <v>76</v>
      </c>
      <c r="Q126" s="17" t="s">
        <v>650</v>
      </c>
      <c r="R126" s="22">
        <v>1565000</v>
      </c>
      <c r="S126" s="22">
        <f>R126*70%</f>
        <v>1095500</v>
      </c>
      <c r="T126" s="22">
        <v>5</v>
      </c>
      <c r="U126" s="22">
        <f t="shared" si="2"/>
        <v>5477500</v>
      </c>
      <c r="V126" s="38" t="s">
        <v>651</v>
      </c>
      <c r="W126" s="38" t="s">
        <v>652</v>
      </c>
      <c r="X126" s="38" t="s">
        <v>652</v>
      </c>
      <c r="Y126" s="17" t="s">
        <v>102</v>
      </c>
    </row>
    <row r="127" spans="1:25" ht="29.25" customHeight="1" x14ac:dyDescent="0.25">
      <c r="A127" s="17">
        <v>119</v>
      </c>
      <c r="B127" s="17">
        <v>33</v>
      </c>
      <c r="C127" s="17">
        <v>723</v>
      </c>
      <c r="D127" s="17">
        <v>671</v>
      </c>
      <c r="E127" s="30" t="s">
        <v>653</v>
      </c>
      <c r="F127" s="39" t="s">
        <v>654</v>
      </c>
      <c r="G127" s="17">
        <v>65</v>
      </c>
      <c r="H127" s="17" t="s">
        <v>290</v>
      </c>
      <c r="I127" s="20" t="s">
        <v>575</v>
      </c>
      <c r="J127" s="20">
        <v>7380101</v>
      </c>
      <c r="K127" s="20">
        <v>3</v>
      </c>
      <c r="L127" s="17" t="s">
        <v>494</v>
      </c>
      <c r="M127" s="17">
        <v>3</v>
      </c>
      <c r="N127" s="20">
        <v>3</v>
      </c>
      <c r="O127" s="20" t="s">
        <v>75</v>
      </c>
      <c r="P127" s="20" t="s">
        <v>76</v>
      </c>
      <c r="Q127" s="17" t="s">
        <v>655</v>
      </c>
      <c r="R127" s="33">
        <v>1565000</v>
      </c>
      <c r="S127" s="22">
        <f>R127*70%</f>
        <v>1095500</v>
      </c>
      <c r="T127" s="22">
        <v>5</v>
      </c>
      <c r="U127" s="22">
        <f t="shared" si="2"/>
        <v>5477500</v>
      </c>
      <c r="V127" s="30" t="s">
        <v>656</v>
      </c>
      <c r="W127" s="30" t="s">
        <v>657</v>
      </c>
      <c r="X127" s="30" t="s">
        <v>658</v>
      </c>
      <c r="Y127" s="17" t="s">
        <v>52</v>
      </c>
    </row>
    <row r="128" spans="1:25" ht="29.25" customHeight="1" x14ac:dyDescent="0.25">
      <c r="A128" s="17">
        <v>120</v>
      </c>
      <c r="B128" s="17">
        <v>34</v>
      </c>
      <c r="C128" s="17">
        <v>724</v>
      </c>
      <c r="D128" s="17">
        <v>672</v>
      </c>
      <c r="E128" s="30" t="s">
        <v>659</v>
      </c>
      <c r="F128" s="27" t="s">
        <v>660</v>
      </c>
      <c r="G128" s="17">
        <v>65</v>
      </c>
      <c r="H128" s="17" t="s">
        <v>290</v>
      </c>
      <c r="I128" s="20" t="s">
        <v>575</v>
      </c>
      <c r="J128" s="20">
        <v>7380101</v>
      </c>
      <c r="K128" s="20">
        <v>3</v>
      </c>
      <c r="L128" s="17" t="s">
        <v>494</v>
      </c>
      <c r="M128" s="17">
        <v>3</v>
      </c>
      <c r="N128" s="20">
        <v>3</v>
      </c>
      <c r="O128" s="20" t="s">
        <v>62</v>
      </c>
      <c r="P128" s="20" t="s">
        <v>38</v>
      </c>
      <c r="Q128" s="17" t="s">
        <v>661</v>
      </c>
      <c r="R128" s="33">
        <v>1565000</v>
      </c>
      <c r="S128" s="22">
        <f>R128</f>
        <v>1565000</v>
      </c>
      <c r="T128" s="22">
        <v>5</v>
      </c>
      <c r="U128" s="22">
        <f t="shared" si="2"/>
        <v>7825000</v>
      </c>
      <c r="V128" s="30" t="s">
        <v>662</v>
      </c>
      <c r="W128" s="30" t="s">
        <v>663</v>
      </c>
      <c r="X128" s="30" t="s">
        <v>664</v>
      </c>
      <c r="Y128" s="17" t="s">
        <v>52</v>
      </c>
    </row>
    <row r="129" spans="1:25" ht="29.25" customHeight="1" x14ac:dyDescent="0.25">
      <c r="A129" s="17">
        <v>121</v>
      </c>
      <c r="B129" s="17">
        <v>35</v>
      </c>
      <c r="C129" s="17">
        <v>725</v>
      </c>
      <c r="D129" s="17">
        <v>673</v>
      </c>
      <c r="E129" s="30" t="s">
        <v>665</v>
      </c>
      <c r="F129" s="27" t="s">
        <v>666</v>
      </c>
      <c r="G129" s="17">
        <v>66</v>
      </c>
      <c r="H129" s="17" t="s">
        <v>137</v>
      </c>
      <c r="I129" s="20" t="s">
        <v>575</v>
      </c>
      <c r="J129" s="20">
        <v>7380101</v>
      </c>
      <c r="K129" s="20">
        <v>3</v>
      </c>
      <c r="L129" s="17" t="s">
        <v>494</v>
      </c>
      <c r="M129" s="17">
        <v>3</v>
      </c>
      <c r="N129" s="20">
        <v>3</v>
      </c>
      <c r="O129" s="20" t="s">
        <v>62</v>
      </c>
      <c r="P129" s="20" t="s">
        <v>38</v>
      </c>
      <c r="Q129" s="17" t="s">
        <v>213</v>
      </c>
      <c r="R129" s="33">
        <v>1565000</v>
      </c>
      <c r="S129" s="22">
        <f>R129</f>
        <v>1565000</v>
      </c>
      <c r="T129" s="22">
        <v>5</v>
      </c>
      <c r="U129" s="22">
        <f t="shared" si="2"/>
        <v>7825000</v>
      </c>
      <c r="V129" s="30" t="s">
        <v>667</v>
      </c>
      <c r="W129" s="30" t="s">
        <v>668</v>
      </c>
      <c r="X129" s="30" t="s">
        <v>669</v>
      </c>
      <c r="Y129" s="17" t="s">
        <v>670</v>
      </c>
    </row>
    <row r="130" spans="1:25" ht="29.25" customHeight="1" x14ac:dyDescent="0.25">
      <c r="A130" s="17">
        <v>122</v>
      </c>
      <c r="B130" s="17">
        <v>36</v>
      </c>
      <c r="C130" s="17">
        <v>726</v>
      </c>
      <c r="D130" s="17">
        <v>674</v>
      </c>
      <c r="E130" s="30" t="s">
        <v>671</v>
      </c>
      <c r="F130" s="27" t="s">
        <v>672</v>
      </c>
      <c r="G130" s="17">
        <v>66</v>
      </c>
      <c r="H130" s="17" t="s">
        <v>673</v>
      </c>
      <c r="I130" s="20" t="s">
        <v>575</v>
      </c>
      <c r="J130" s="20">
        <v>7380101</v>
      </c>
      <c r="K130" s="20">
        <v>3</v>
      </c>
      <c r="L130" s="17" t="s">
        <v>494</v>
      </c>
      <c r="M130" s="17">
        <v>3</v>
      </c>
      <c r="N130" s="20">
        <v>3</v>
      </c>
      <c r="O130" s="20" t="s">
        <v>75</v>
      </c>
      <c r="P130" s="20" t="s">
        <v>76</v>
      </c>
      <c r="Q130" s="17" t="s">
        <v>655</v>
      </c>
      <c r="R130" s="33">
        <v>1565000</v>
      </c>
      <c r="S130" s="22">
        <f>R130*70%</f>
        <v>1095500</v>
      </c>
      <c r="T130" s="22">
        <v>5</v>
      </c>
      <c r="U130" s="22">
        <f t="shared" si="2"/>
        <v>5477500</v>
      </c>
      <c r="V130" s="30" t="s">
        <v>674</v>
      </c>
      <c r="W130" s="30" t="s">
        <v>675</v>
      </c>
      <c r="X130" s="30" t="s">
        <v>676</v>
      </c>
      <c r="Y130" s="17" t="s">
        <v>102</v>
      </c>
    </row>
    <row r="131" spans="1:25" ht="29.25" customHeight="1" x14ac:dyDescent="0.25">
      <c r="A131" s="17">
        <v>123</v>
      </c>
      <c r="B131" s="17">
        <v>37</v>
      </c>
      <c r="C131" s="17">
        <v>727</v>
      </c>
      <c r="D131" s="17">
        <v>675</v>
      </c>
      <c r="E131" s="30" t="s">
        <v>677</v>
      </c>
      <c r="F131" s="27" t="s">
        <v>678</v>
      </c>
      <c r="G131" s="17">
        <v>66</v>
      </c>
      <c r="H131" s="17" t="s">
        <v>673</v>
      </c>
      <c r="I131" s="20" t="s">
        <v>575</v>
      </c>
      <c r="J131" s="20">
        <v>7380101</v>
      </c>
      <c r="K131" s="20">
        <v>3</v>
      </c>
      <c r="L131" s="17" t="s">
        <v>494</v>
      </c>
      <c r="M131" s="17">
        <v>3</v>
      </c>
      <c r="N131" s="20">
        <v>3</v>
      </c>
      <c r="O131" s="17" t="s">
        <v>116</v>
      </c>
      <c r="P131" s="20" t="s">
        <v>38</v>
      </c>
      <c r="Q131" s="17"/>
      <c r="R131" s="33">
        <v>1565000</v>
      </c>
      <c r="S131" s="22">
        <f>R131</f>
        <v>1565000</v>
      </c>
      <c r="T131" s="22">
        <v>5</v>
      </c>
      <c r="U131" s="22">
        <f t="shared" si="2"/>
        <v>7825000</v>
      </c>
      <c r="V131" s="30" t="s">
        <v>679</v>
      </c>
      <c r="W131" s="30" t="s">
        <v>680</v>
      </c>
      <c r="X131" s="30" t="s">
        <v>680</v>
      </c>
      <c r="Y131" s="17" t="s">
        <v>102</v>
      </c>
    </row>
    <row r="132" spans="1:25" ht="29.25" customHeight="1" x14ac:dyDescent="0.25">
      <c r="A132" s="17">
        <v>124</v>
      </c>
      <c r="B132" s="17">
        <v>38</v>
      </c>
      <c r="C132" s="17">
        <v>729</v>
      </c>
      <c r="D132" s="17">
        <v>677</v>
      </c>
      <c r="E132" s="30" t="s">
        <v>681</v>
      </c>
      <c r="F132" s="39" t="s">
        <v>682</v>
      </c>
      <c r="G132" s="17">
        <v>66</v>
      </c>
      <c r="H132" s="17" t="s">
        <v>335</v>
      </c>
      <c r="I132" s="20" t="s">
        <v>575</v>
      </c>
      <c r="J132" s="20">
        <v>7380101</v>
      </c>
      <c r="K132" s="20">
        <v>3</v>
      </c>
      <c r="L132" s="17" t="s">
        <v>494</v>
      </c>
      <c r="M132" s="17">
        <v>3</v>
      </c>
      <c r="N132" s="20">
        <v>3</v>
      </c>
      <c r="O132" s="20" t="s">
        <v>62</v>
      </c>
      <c r="P132" s="20" t="s">
        <v>38</v>
      </c>
      <c r="Q132" s="17" t="s">
        <v>655</v>
      </c>
      <c r="R132" s="33">
        <v>1565000</v>
      </c>
      <c r="S132" s="22">
        <f>R132</f>
        <v>1565000</v>
      </c>
      <c r="T132" s="22">
        <v>5</v>
      </c>
      <c r="U132" s="22">
        <f t="shared" si="2"/>
        <v>7825000</v>
      </c>
      <c r="V132" s="30" t="s">
        <v>683</v>
      </c>
      <c r="W132" s="30" t="s">
        <v>684</v>
      </c>
      <c r="X132" s="30" t="s">
        <v>684</v>
      </c>
      <c r="Y132" s="17" t="s">
        <v>102</v>
      </c>
    </row>
    <row r="133" spans="1:25" ht="29.25" customHeight="1" x14ac:dyDescent="0.25">
      <c r="A133" s="17">
        <v>125</v>
      </c>
      <c r="B133" s="17">
        <v>39</v>
      </c>
      <c r="C133" s="17">
        <v>728</v>
      </c>
      <c r="D133" s="17">
        <v>676</v>
      </c>
      <c r="E133" s="30" t="s">
        <v>685</v>
      </c>
      <c r="F133" s="27" t="s">
        <v>686</v>
      </c>
      <c r="G133" s="17">
        <v>66</v>
      </c>
      <c r="H133" s="17" t="s">
        <v>673</v>
      </c>
      <c r="I133" s="20" t="s">
        <v>575</v>
      </c>
      <c r="J133" s="20">
        <v>7380101</v>
      </c>
      <c r="K133" s="20">
        <v>3</v>
      </c>
      <c r="L133" s="17" t="s">
        <v>494</v>
      </c>
      <c r="M133" s="17">
        <v>3</v>
      </c>
      <c r="N133" s="20">
        <v>3</v>
      </c>
      <c r="O133" s="20" t="s">
        <v>75</v>
      </c>
      <c r="P133" s="20" t="s">
        <v>76</v>
      </c>
      <c r="Q133" s="17" t="s">
        <v>655</v>
      </c>
      <c r="R133" s="33">
        <v>1565000</v>
      </c>
      <c r="S133" s="22">
        <f>R133*70%</f>
        <v>1095500</v>
      </c>
      <c r="T133" s="22">
        <v>5</v>
      </c>
      <c r="U133" s="22">
        <f t="shared" si="2"/>
        <v>5477500</v>
      </c>
      <c r="V133" s="30" t="s">
        <v>687</v>
      </c>
      <c r="W133" s="30" t="s">
        <v>688</v>
      </c>
      <c r="X133" s="30">
        <v>5141149099</v>
      </c>
      <c r="Y133" s="17" t="s">
        <v>42</v>
      </c>
    </row>
    <row r="134" spans="1:25" ht="29.25" customHeight="1" x14ac:dyDescent="0.25">
      <c r="A134" s="17">
        <v>126</v>
      </c>
      <c r="B134" s="17">
        <v>40</v>
      </c>
      <c r="C134" s="17">
        <v>589</v>
      </c>
      <c r="D134" s="17">
        <v>537</v>
      </c>
      <c r="E134" s="30" t="s">
        <v>689</v>
      </c>
      <c r="F134" s="27" t="s">
        <v>690</v>
      </c>
      <c r="G134" s="17">
        <v>65</v>
      </c>
      <c r="H134" s="17" t="s">
        <v>68</v>
      </c>
      <c r="I134" s="17" t="s">
        <v>691</v>
      </c>
      <c r="J134" s="17">
        <v>7380103</v>
      </c>
      <c r="K134" s="17">
        <v>3</v>
      </c>
      <c r="L134" s="17" t="s">
        <v>494</v>
      </c>
      <c r="M134" s="17">
        <v>3</v>
      </c>
      <c r="N134" s="17">
        <v>3</v>
      </c>
      <c r="O134" s="17" t="s">
        <v>62</v>
      </c>
      <c r="P134" s="17" t="s">
        <v>38</v>
      </c>
      <c r="Q134" s="17" t="s">
        <v>692</v>
      </c>
      <c r="R134" s="22">
        <v>1565000</v>
      </c>
      <c r="S134" s="22">
        <f>R134</f>
        <v>1565000</v>
      </c>
      <c r="T134" s="22">
        <v>5</v>
      </c>
      <c r="U134" s="22">
        <f t="shared" si="2"/>
        <v>7825000</v>
      </c>
      <c r="V134" s="30" t="s">
        <v>693</v>
      </c>
      <c r="W134" s="30" t="s">
        <v>694</v>
      </c>
      <c r="X134" s="30" t="s">
        <v>694</v>
      </c>
      <c r="Y134" s="17" t="s">
        <v>102</v>
      </c>
    </row>
    <row r="135" spans="1:25" ht="29.25" customHeight="1" x14ac:dyDescent="0.25">
      <c r="A135" s="17">
        <v>127</v>
      </c>
      <c r="B135" s="17">
        <v>41</v>
      </c>
      <c r="C135" s="17">
        <v>732</v>
      </c>
      <c r="D135" s="17">
        <v>680</v>
      </c>
      <c r="E135" s="30" t="s">
        <v>695</v>
      </c>
      <c r="F135" s="27" t="s">
        <v>696</v>
      </c>
      <c r="G135" s="17">
        <v>66</v>
      </c>
      <c r="H135" s="17" t="s">
        <v>82</v>
      </c>
      <c r="I135" s="20" t="s">
        <v>697</v>
      </c>
      <c r="J135" s="20">
        <v>7380102</v>
      </c>
      <c r="K135" s="20">
        <v>3</v>
      </c>
      <c r="L135" s="17" t="s">
        <v>494</v>
      </c>
      <c r="M135" s="17">
        <v>3</v>
      </c>
      <c r="N135" s="20">
        <v>3</v>
      </c>
      <c r="O135" s="20" t="s">
        <v>75</v>
      </c>
      <c r="P135" s="20" t="s">
        <v>76</v>
      </c>
      <c r="Q135" s="17" t="s">
        <v>698</v>
      </c>
      <c r="R135" s="33">
        <v>1565000</v>
      </c>
      <c r="S135" s="22">
        <f>R135*70%</f>
        <v>1095500</v>
      </c>
      <c r="T135" s="22">
        <v>5</v>
      </c>
      <c r="U135" s="22">
        <f t="shared" si="2"/>
        <v>5477500</v>
      </c>
      <c r="V135" s="30" t="s">
        <v>699</v>
      </c>
      <c r="W135" s="30" t="s">
        <v>700</v>
      </c>
      <c r="X135" s="30" t="s">
        <v>701</v>
      </c>
      <c r="Y135" s="17" t="s">
        <v>42</v>
      </c>
    </row>
    <row r="136" spans="1:25" ht="29.25" customHeight="1" x14ac:dyDescent="0.25">
      <c r="A136" s="17">
        <v>128</v>
      </c>
      <c r="B136" s="17">
        <v>42</v>
      </c>
      <c r="C136" s="17">
        <v>733</v>
      </c>
      <c r="D136" s="17">
        <v>681</v>
      </c>
      <c r="E136" s="30" t="s">
        <v>702</v>
      </c>
      <c r="F136" s="27" t="s">
        <v>703</v>
      </c>
      <c r="G136" s="17">
        <v>66</v>
      </c>
      <c r="H136" s="17" t="s">
        <v>137</v>
      </c>
      <c r="I136" s="20" t="s">
        <v>697</v>
      </c>
      <c r="J136" s="20">
        <v>7380102</v>
      </c>
      <c r="K136" s="20">
        <v>3</v>
      </c>
      <c r="L136" s="17" t="s">
        <v>494</v>
      </c>
      <c r="M136" s="17">
        <v>3</v>
      </c>
      <c r="N136" s="20">
        <v>3</v>
      </c>
      <c r="O136" s="20" t="s">
        <v>62</v>
      </c>
      <c r="P136" s="20" t="s">
        <v>38</v>
      </c>
      <c r="Q136" s="17" t="s">
        <v>704</v>
      </c>
      <c r="R136" s="33">
        <v>1565000</v>
      </c>
      <c r="S136" s="22">
        <f>R136</f>
        <v>1565000</v>
      </c>
      <c r="T136" s="22">
        <v>5</v>
      </c>
      <c r="U136" s="22">
        <f t="shared" si="2"/>
        <v>7825000</v>
      </c>
      <c r="V136" s="30" t="s">
        <v>705</v>
      </c>
      <c r="W136" s="30" t="s">
        <v>706</v>
      </c>
      <c r="X136" s="30" t="s">
        <v>706</v>
      </c>
      <c r="Y136" s="17" t="s">
        <v>102</v>
      </c>
    </row>
    <row r="137" spans="1:25" ht="29.25" customHeight="1" x14ac:dyDescent="0.25">
      <c r="A137" s="17">
        <v>129</v>
      </c>
      <c r="B137" s="17">
        <v>43</v>
      </c>
      <c r="C137" s="17">
        <v>358</v>
      </c>
      <c r="D137" s="17">
        <v>312</v>
      </c>
      <c r="E137" s="17" t="s">
        <v>707</v>
      </c>
      <c r="F137" s="27" t="s">
        <v>708</v>
      </c>
      <c r="G137" s="17">
        <v>63</v>
      </c>
      <c r="H137" s="17" t="s">
        <v>156</v>
      </c>
      <c r="I137" s="17" t="s">
        <v>709</v>
      </c>
      <c r="J137" s="17">
        <v>7380107</v>
      </c>
      <c r="K137" s="17">
        <v>3</v>
      </c>
      <c r="L137" s="17" t="s">
        <v>494</v>
      </c>
      <c r="M137" s="17">
        <v>3</v>
      </c>
      <c r="N137" s="17">
        <v>3</v>
      </c>
      <c r="O137" s="17" t="s">
        <v>258</v>
      </c>
      <c r="P137" s="17" t="s">
        <v>38</v>
      </c>
      <c r="Q137" s="17"/>
      <c r="R137" s="22">
        <v>1565000</v>
      </c>
      <c r="S137" s="22">
        <f>R137</f>
        <v>1565000</v>
      </c>
      <c r="T137" s="22">
        <v>5</v>
      </c>
      <c r="U137" s="22">
        <f t="shared" ref="U137:U200" si="3">S137*T137</f>
        <v>7825000</v>
      </c>
      <c r="V137" s="17" t="s">
        <v>710</v>
      </c>
      <c r="W137" s="17" t="s">
        <v>711</v>
      </c>
      <c r="X137" s="30" t="s">
        <v>712</v>
      </c>
      <c r="Y137" s="17" t="s">
        <v>42</v>
      </c>
    </row>
    <row r="138" spans="1:25" ht="29.25" customHeight="1" x14ac:dyDescent="0.25">
      <c r="A138" s="17">
        <v>130</v>
      </c>
      <c r="B138" s="17">
        <v>44</v>
      </c>
      <c r="C138" s="17">
        <v>360</v>
      </c>
      <c r="D138" s="17">
        <v>314</v>
      </c>
      <c r="E138" s="17" t="s">
        <v>713</v>
      </c>
      <c r="F138" s="27" t="s">
        <v>714</v>
      </c>
      <c r="G138" s="17">
        <v>63</v>
      </c>
      <c r="H138" s="17" t="s">
        <v>148</v>
      </c>
      <c r="I138" s="17" t="s">
        <v>709</v>
      </c>
      <c r="J138" s="17">
        <v>7380107</v>
      </c>
      <c r="K138" s="17">
        <v>3</v>
      </c>
      <c r="L138" s="17" t="s">
        <v>494</v>
      </c>
      <c r="M138" s="17">
        <v>3</v>
      </c>
      <c r="N138" s="17">
        <v>3</v>
      </c>
      <c r="O138" s="17" t="s">
        <v>75</v>
      </c>
      <c r="P138" s="17" t="s">
        <v>76</v>
      </c>
      <c r="Q138" s="17" t="s">
        <v>69</v>
      </c>
      <c r="R138" s="22">
        <v>1565000</v>
      </c>
      <c r="S138" s="22">
        <f>R138*70%</f>
        <v>1095500</v>
      </c>
      <c r="T138" s="22">
        <v>5</v>
      </c>
      <c r="U138" s="22">
        <f t="shared" si="3"/>
        <v>5477500</v>
      </c>
      <c r="V138" s="17" t="s">
        <v>715</v>
      </c>
      <c r="W138" s="17" t="s">
        <v>716</v>
      </c>
      <c r="X138" s="17" t="s">
        <v>717</v>
      </c>
      <c r="Y138" s="17" t="s">
        <v>42</v>
      </c>
    </row>
    <row r="139" spans="1:25" ht="29.25" customHeight="1" x14ac:dyDescent="0.25">
      <c r="A139" s="17">
        <v>131</v>
      </c>
      <c r="B139" s="17">
        <v>45</v>
      </c>
      <c r="C139" s="17">
        <v>441</v>
      </c>
      <c r="D139" s="17">
        <v>390</v>
      </c>
      <c r="E139" s="17" t="s">
        <v>718</v>
      </c>
      <c r="F139" s="27" t="s">
        <v>719</v>
      </c>
      <c r="G139" s="17">
        <v>63</v>
      </c>
      <c r="H139" s="17" t="s">
        <v>148</v>
      </c>
      <c r="I139" s="17" t="s">
        <v>709</v>
      </c>
      <c r="J139" s="17">
        <v>7380107</v>
      </c>
      <c r="K139" s="17">
        <v>3</v>
      </c>
      <c r="L139" s="17" t="s">
        <v>494</v>
      </c>
      <c r="M139" s="17">
        <v>3</v>
      </c>
      <c r="N139" s="17">
        <v>3</v>
      </c>
      <c r="O139" s="17" t="s">
        <v>116</v>
      </c>
      <c r="P139" s="17" t="s">
        <v>38</v>
      </c>
      <c r="Q139" s="17"/>
      <c r="R139" s="22">
        <v>1565000</v>
      </c>
      <c r="S139" s="22">
        <f>R139</f>
        <v>1565000</v>
      </c>
      <c r="T139" s="22">
        <v>5</v>
      </c>
      <c r="U139" s="22">
        <f t="shared" si="3"/>
        <v>7825000</v>
      </c>
      <c r="V139" s="17" t="s">
        <v>720</v>
      </c>
      <c r="W139" s="17" t="s">
        <v>721</v>
      </c>
      <c r="X139" s="17" t="s">
        <v>722</v>
      </c>
      <c r="Y139" s="17" t="s">
        <v>42</v>
      </c>
    </row>
    <row r="140" spans="1:25" ht="29.25" customHeight="1" x14ac:dyDescent="0.25">
      <c r="A140" s="17">
        <v>132</v>
      </c>
      <c r="B140" s="17">
        <v>46</v>
      </c>
      <c r="C140" s="17">
        <v>473</v>
      </c>
      <c r="D140" s="17">
        <v>421</v>
      </c>
      <c r="E140" s="17" t="s">
        <v>723</v>
      </c>
      <c r="F140" s="27" t="s">
        <v>724</v>
      </c>
      <c r="G140" s="17">
        <v>64</v>
      </c>
      <c r="H140" s="17" t="s">
        <v>219</v>
      </c>
      <c r="I140" s="17" t="s">
        <v>709</v>
      </c>
      <c r="J140" s="17">
        <v>7380107</v>
      </c>
      <c r="K140" s="17">
        <v>3</v>
      </c>
      <c r="L140" s="17" t="s">
        <v>494</v>
      </c>
      <c r="M140" s="17">
        <v>3</v>
      </c>
      <c r="N140" s="17">
        <v>3</v>
      </c>
      <c r="O140" s="17" t="s">
        <v>116</v>
      </c>
      <c r="P140" s="17" t="s">
        <v>38</v>
      </c>
      <c r="Q140" s="17"/>
      <c r="R140" s="22">
        <v>1565000</v>
      </c>
      <c r="S140" s="22">
        <f>R140</f>
        <v>1565000</v>
      </c>
      <c r="T140" s="22">
        <v>5</v>
      </c>
      <c r="U140" s="22">
        <f t="shared" si="3"/>
        <v>7825000</v>
      </c>
      <c r="V140" s="30" t="s">
        <v>725</v>
      </c>
      <c r="W140" s="30" t="s">
        <v>726</v>
      </c>
      <c r="X140" s="17" t="s">
        <v>727</v>
      </c>
      <c r="Y140" s="17" t="s">
        <v>102</v>
      </c>
    </row>
    <row r="141" spans="1:25" ht="29.25" customHeight="1" x14ac:dyDescent="0.25">
      <c r="A141" s="17">
        <v>133</v>
      </c>
      <c r="B141" s="17">
        <v>47</v>
      </c>
      <c r="C141" s="17">
        <v>477</v>
      </c>
      <c r="D141" s="17">
        <v>425</v>
      </c>
      <c r="E141" s="17" t="s">
        <v>728</v>
      </c>
      <c r="F141" s="27" t="s">
        <v>729</v>
      </c>
      <c r="G141" s="17">
        <v>64</v>
      </c>
      <c r="H141" s="17" t="s">
        <v>230</v>
      </c>
      <c r="I141" s="17" t="s">
        <v>709</v>
      </c>
      <c r="J141" s="17">
        <v>7380107</v>
      </c>
      <c r="K141" s="17">
        <v>3</v>
      </c>
      <c r="L141" s="17" t="s">
        <v>494</v>
      </c>
      <c r="M141" s="17">
        <v>3</v>
      </c>
      <c r="N141" s="17">
        <v>3</v>
      </c>
      <c r="O141" s="17" t="s">
        <v>47</v>
      </c>
      <c r="P141" s="17" t="s">
        <v>48</v>
      </c>
      <c r="Q141" s="17"/>
      <c r="R141" s="22">
        <v>1565000</v>
      </c>
      <c r="S141" s="22">
        <f>50%*R141</f>
        <v>782500</v>
      </c>
      <c r="T141" s="22">
        <v>5</v>
      </c>
      <c r="U141" s="22">
        <f t="shared" si="3"/>
        <v>3912500</v>
      </c>
      <c r="V141" s="30" t="s">
        <v>730</v>
      </c>
      <c r="W141" s="30" t="s">
        <v>731</v>
      </c>
      <c r="X141" s="17" t="s">
        <v>732</v>
      </c>
      <c r="Y141" s="17" t="s">
        <v>52</v>
      </c>
    </row>
    <row r="142" spans="1:25" ht="29.25" customHeight="1" x14ac:dyDescent="0.25">
      <c r="A142" s="17">
        <v>134</v>
      </c>
      <c r="B142" s="17">
        <v>48</v>
      </c>
      <c r="C142" s="17">
        <v>478</v>
      </c>
      <c r="D142" s="17">
        <v>426</v>
      </c>
      <c r="E142" s="30" t="s">
        <v>733</v>
      </c>
      <c r="F142" s="27" t="s">
        <v>734</v>
      </c>
      <c r="G142" s="17">
        <v>64</v>
      </c>
      <c r="H142" s="17" t="s">
        <v>230</v>
      </c>
      <c r="I142" s="17" t="s">
        <v>709</v>
      </c>
      <c r="J142" s="17">
        <v>7380107</v>
      </c>
      <c r="K142" s="17">
        <v>3</v>
      </c>
      <c r="L142" s="17" t="s">
        <v>494</v>
      </c>
      <c r="M142" s="17">
        <v>3</v>
      </c>
      <c r="N142" s="17">
        <v>3</v>
      </c>
      <c r="O142" s="17" t="s">
        <v>116</v>
      </c>
      <c r="P142" s="17" t="s">
        <v>38</v>
      </c>
      <c r="Q142" s="17"/>
      <c r="R142" s="22">
        <v>1565000</v>
      </c>
      <c r="S142" s="22">
        <f>R142</f>
        <v>1565000</v>
      </c>
      <c r="T142" s="22">
        <v>5</v>
      </c>
      <c r="U142" s="22">
        <f t="shared" si="3"/>
        <v>7825000</v>
      </c>
      <c r="V142" s="30" t="s">
        <v>735</v>
      </c>
      <c r="W142" s="30" t="s">
        <v>736</v>
      </c>
      <c r="X142" s="17" t="s">
        <v>736</v>
      </c>
      <c r="Y142" s="17" t="s">
        <v>102</v>
      </c>
    </row>
    <row r="143" spans="1:25" ht="29.25" customHeight="1" x14ac:dyDescent="0.25">
      <c r="A143" s="17">
        <v>135</v>
      </c>
      <c r="B143" s="17">
        <v>49</v>
      </c>
      <c r="C143" s="17">
        <v>586</v>
      </c>
      <c r="D143" s="17">
        <v>534</v>
      </c>
      <c r="E143" s="30" t="s">
        <v>737</v>
      </c>
      <c r="F143" s="27" t="s">
        <v>738</v>
      </c>
      <c r="G143" s="17">
        <v>64</v>
      </c>
      <c r="H143" s="17" t="s">
        <v>219</v>
      </c>
      <c r="I143" s="17" t="s">
        <v>709</v>
      </c>
      <c r="J143" s="17">
        <v>7380107</v>
      </c>
      <c r="K143" s="17">
        <v>3</v>
      </c>
      <c r="L143" s="17" t="s">
        <v>494</v>
      </c>
      <c r="M143" s="17">
        <v>3</v>
      </c>
      <c r="N143" s="17">
        <v>3</v>
      </c>
      <c r="O143" s="17" t="s">
        <v>62</v>
      </c>
      <c r="P143" s="17" t="s">
        <v>38</v>
      </c>
      <c r="Q143" s="17" t="s">
        <v>704</v>
      </c>
      <c r="R143" s="22">
        <v>1565000</v>
      </c>
      <c r="S143" s="22">
        <f>R143</f>
        <v>1565000</v>
      </c>
      <c r="T143" s="22">
        <v>5</v>
      </c>
      <c r="U143" s="22">
        <f t="shared" si="3"/>
        <v>7825000</v>
      </c>
      <c r="V143" s="30" t="s">
        <v>739</v>
      </c>
      <c r="W143" s="30" t="s">
        <v>740</v>
      </c>
      <c r="X143" s="30" t="s">
        <v>741</v>
      </c>
      <c r="Y143" s="17" t="s">
        <v>52</v>
      </c>
    </row>
    <row r="144" spans="1:25" ht="29.25" customHeight="1" x14ac:dyDescent="0.25">
      <c r="A144" s="17">
        <v>136</v>
      </c>
      <c r="B144" s="17">
        <v>50</v>
      </c>
      <c r="C144" s="17">
        <v>587</v>
      </c>
      <c r="D144" s="17">
        <v>535</v>
      </c>
      <c r="E144" s="30" t="s">
        <v>742</v>
      </c>
      <c r="F144" s="27" t="s">
        <v>743</v>
      </c>
      <c r="G144" s="17">
        <v>65</v>
      </c>
      <c r="H144" s="17" t="s">
        <v>290</v>
      </c>
      <c r="I144" s="17" t="s">
        <v>709</v>
      </c>
      <c r="J144" s="17">
        <v>7380107</v>
      </c>
      <c r="K144" s="17">
        <v>3</v>
      </c>
      <c r="L144" s="17" t="s">
        <v>494</v>
      </c>
      <c r="M144" s="17">
        <v>3</v>
      </c>
      <c r="N144" s="17">
        <v>3</v>
      </c>
      <c r="O144" s="17" t="s">
        <v>116</v>
      </c>
      <c r="P144" s="17" t="s">
        <v>38</v>
      </c>
      <c r="Q144" s="17"/>
      <c r="R144" s="22">
        <v>1565000</v>
      </c>
      <c r="S144" s="22">
        <f>R144</f>
        <v>1565000</v>
      </c>
      <c r="T144" s="22">
        <v>5</v>
      </c>
      <c r="U144" s="22">
        <f t="shared" si="3"/>
        <v>7825000</v>
      </c>
      <c r="V144" s="30" t="s">
        <v>744</v>
      </c>
      <c r="W144" s="30" t="s">
        <v>745</v>
      </c>
      <c r="X144" s="30" t="s">
        <v>746</v>
      </c>
      <c r="Y144" s="17" t="s">
        <v>102</v>
      </c>
    </row>
    <row r="145" spans="1:25" ht="29.25" customHeight="1" x14ac:dyDescent="0.25">
      <c r="A145" s="17">
        <v>137</v>
      </c>
      <c r="B145" s="17">
        <v>51</v>
      </c>
      <c r="C145" s="17">
        <v>588</v>
      </c>
      <c r="D145" s="17">
        <v>536</v>
      </c>
      <c r="E145" s="30" t="s">
        <v>747</v>
      </c>
      <c r="F145" s="27" t="s">
        <v>748</v>
      </c>
      <c r="G145" s="17">
        <v>65</v>
      </c>
      <c r="H145" s="17" t="s">
        <v>290</v>
      </c>
      <c r="I145" s="17" t="s">
        <v>709</v>
      </c>
      <c r="J145" s="17">
        <v>7380107</v>
      </c>
      <c r="K145" s="17">
        <v>3</v>
      </c>
      <c r="L145" s="17" t="s">
        <v>494</v>
      </c>
      <c r="M145" s="17">
        <v>3</v>
      </c>
      <c r="N145" s="17">
        <v>3</v>
      </c>
      <c r="O145" s="17" t="s">
        <v>47</v>
      </c>
      <c r="P145" s="17" t="s">
        <v>48</v>
      </c>
      <c r="Q145" s="17"/>
      <c r="R145" s="22">
        <v>1565000</v>
      </c>
      <c r="S145" s="22">
        <f>50%*R145</f>
        <v>782500</v>
      </c>
      <c r="T145" s="22">
        <v>5</v>
      </c>
      <c r="U145" s="22">
        <f t="shared" si="3"/>
        <v>3912500</v>
      </c>
      <c r="V145" s="30" t="s">
        <v>749</v>
      </c>
      <c r="W145" s="30" t="s">
        <v>750</v>
      </c>
      <c r="X145" s="30" t="s">
        <v>751</v>
      </c>
      <c r="Y145" s="17" t="s">
        <v>52</v>
      </c>
    </row>
    <row r="146" spans="1:25" ht="29.25" customHeight="1" x14ac:dyDescent="0.25">
      <c r="A146" s="17">
        <v>138</v>
      </c>
      <c r="B146" s="17">
        <v>52</v>
      </c>
      <c r="C146" s="38">
        <v>669</v>
      </c>
      <c r="D146" s="38">
        <v>617</v>
      </c>
      <c r="E146" s="32" t="s">
        <v>752</v>
      </c>
      <c r="F146" s="39" t="s">
        <v>753</v>
      </c>
      <c r="G146" s="17">
        <v>65</v>
      </c>
      <c r="H146" s="17" t="s">
        <v>279</v>
      </c>
      <c r="I146" s="17" t="s">
        <v>709</v>
      </c>
      <c r="J146" s="17">
        <v>7380107</v>
      </c>
      <c r="K146" s="17">
        <v>3</v>
      </c>
      <c r="L146" s="17" t="s">
        <v>494</v>
      </c>
      <c r="M146" s="38">
        <v>3</v>
      </c>
      <c r="N146" s="17">
        <v>3</v>
      </c>
      <c r="O146" s="17" t="s">
        <v>62</v>
      </c>
      <c r="P146" s="17" t="s">
        <v>38</v>
      </c>
      <c r="Q146" s="17" t="s">
        <v>69</v>
      </c>
      <c r="R146" s="22">
        <v>1565000</v>
      </c>
      <c r="S146" s="22">
        <f>R146</f>
        <v>1565000</v>
      </c>
      <c r="T146" s="22">
        <v>5</v>
      </c>
      <c r="U146" s="22">
        <f t="shared" si="3"/>
        <v>7825000</v>
      </c>
      <c r="V146" s="49" t="s">
        <v>754</v>
      </c>
      <c r="W146" s="49" t="s">
        <v>755</v>
      </c>
      <c r="X146" s="49" t="s">
        <v>756</v>
      </c>
      <c r="Y146" s="17" t="s">
        <v>52</v>
      </c>
    </row>
    <row r="147" spans="1:25" ht="29.25" customHeight="1" x14ac:dyDescent="0.25">
      <c r="A147" s="17">
        <v>139</v>
      </c>
      <c r="B147" s="17">
        <v>53</v>
      </c>
      <c r="C147" s="17">
        <v>730</v>
      </c>
      <c r="D147" s="17">
        <v>678</v>
      </c>
      <c r="E147" s="30" t="s">
        <v>757</v>
      </c>
      <c r="F147" s="27" t="s">
        <v>758</v>
      </c>
      <c r="G147" s="17">
        <v>66</v>
      </c>
      <c r="H147" s="17" t="s">
        <v>137</v>
      </c>
      <c r="I147" s="20" t="s">
        <v>709</v>
      </c>
      <c r="J147" s="20">
        <v>7380107</v>
      </c>
      <c r="K147" s="20">
        <v>3</v>
      </c>
      <c r="L147" s="17" t="s">
        <v>494</v>
      </c>
      <c r="M147" s="17">
        <v>3</v>
      </c>
      <c r="N147" s="20">
        <v>3</v>
      </c>
      <c r="O147" s="17" t="s">
        <v>116</v>
      </c>
      <c r="P147" s="20" t="s">
        <v>38</v>
      </c>
      <c r="Q147" s="17"/>
      <c r="R147" s="33">
        <v>1565000</v>
      </c>
      <c r="S147" s="22">
        <f>R147</f>
        <v>1565000</v>
      </c>
      <c r="T147" s="22">
        <v>5</v>
      </c>
      <c r="U147" s="22">
        <f t="shared" si="3"/>
        <v>7825000</v>
      </c>
      <c r="V147" s="30" t="s">
        <v>759</v>
      </c>
      <c r="W147" s="30" t="s">
        <v>760</v>
      </c>
      <c r="X147" s="30" t="s">
        <v>761</v>
      </c>
      <c r="Y147" s="17" t="s">
        <v>42</v>
      </c>
    </row>
    <row r="148" spans="1:25" ht="29.25" customHeight="1" x14ac:dyDescent="0.25">
      <c r="A148" s="17">
        <v>140</v>
      </c>
      <c r="B148" s="17">
        <v>54</v>
      </c>
      <c r="C148" s="17">
        <v>731</v>
      </c>
      <c r="D148" s="17">
        <v>679</v>
      </c>
      <c r="E148" s="30" t="s">
        <v>762</v>
      </c>
      <c r="F148" s="27" t="s">
        <v>763</v>
      </c>
      <c r="G148" s="17">
        <v>66</v>
      </c>
      <c r="H148" s="17" t="s">
        <v>137</v>
      </c>
      <c r="I148" s="20" t="s">
        <v>709</v>
      </c>
      <c r="J148" s="20">
        <v>7380107</v>
      </c>
      <c r="K148" s="20">
        <v>3</v>
      </c>
      <c r="L148" s="17" t="s">
        <v>494</v>
      </c>
      <c r="M148" s="17">
        <v>3</v>
      </c>
      <c r="N148" s="20">
        <v>3</v>
      </c>
      <c r="O148" s="20" t="s">
        <v>75</v>
      </c>
      <c r="P148" s="20" t="s">
        <v>76</v>
      </c>
      <c r="Q148" s="17" t="s">
        <v>655</v>
      </c>
      <c r="R148" s="33">
        <v>1565000</v>
      </c>
      <c r="S148" s="22">
        <f t="shared" ref="S148:S153" si="4">R148*70%</f>
        <v>1095500</v>
      </c>
      <c r="T148" s="22">
        <v>5</v>
      </c>
      <c r="U148" s="22">
        <f t="shared" si="3"/>
        <v>5477500</v>
      </c>
      <c r="V148" s="30" t="s">
        <v>764</v>
      </c>
      <c r="W148" s="30" t="s">
        <v>765</v>
      </c>
      <c r="X148" s="30" t="s">
        <v>766</v>
      </c>
      <c r="Y148" s="17" t="s">
        <v>52</v>
      </c>
    </row>
    <row r="149" spans="1:25" ht="29.25" customHeight="1" x14ac:dyDescent="0.25">
      <c r="A149" s="17">
        <v>141</v>
      </c>
      <c r="B149" s="17">
        <v>55</v>
      </c>
      <c r="C149" s="17">
        <v>346</v>
      </c>
      <c r="D149" s="17">
        <v>302</v>
      </c>
      <c r="E149" s="17" t="s">
        <v>767</v>
      </c>
      <c r="F149" s="27" t="s">
        <v>768</v>
      </c>
      <c r="G149" s="17">
        <v>63</v>
      </c>
      <c r="H149" s="17" t="s">
        <v>45</v>
      </c>
      <c r="I149" s="17" t="s">
        <v>769</v>
      </c>
      <c r="J149" s="17">
        <v>7310205</v>
      </c>
      <c r="K149" s="17">
        <v>7</v>
      </c>
      <c r="L149" s="17" t="s">
        <v>494</v>
      </c>
      <c r="M149" s="17">
        <v>3</v>
      </c>
      <c r="N149" s="17">
        <v>7</v>
      </c>
      <c r="O149" s="17" t="s">
        <v>75</v>
      </c>
      <c r="P149" s="17" t="s">
        <v>76</v>
      </c>
      <c r="Q149" s="17" t="s">
        <v>213</v>
      </c>
      <c r="R149" s="22">
        <v>1565000</v>
      </c>
      <c r="S149" s="22">
        <f t="shared" si="4"/>
        <v>1095500</v>
      </c>
      <c r="T149" s="22">
        <v>5</v>
      </c>
      <c r="U149" s="22">
        <f t="shared" si="3"/>
        <v>5477500</v>
      </c>
      <c r="V149" s="17" t="s">
        <v>770</v>
      </c>
      <c r="W149" s="17" t="s">
        <v>771</v>
      </c>
      <c r="X149" s="17" t="s">
        <v>772</v>
      </c>
      <c r="Y149" s="17" t="s">
        <v>42</v>
      </c>
    </row>
    <row r="150" spans="1:25" ht="29.25" customHeight="1" x14ac:dyDescent="0.25">
      <c r="A150" s="17">
        <v>142</v>
      </c>
      <c r="B150" s="17">
        <v>56</v>
      </c>
      <c r="C150" s="17">
        <v>348</v>
      </c>
      <c r="D150" s="17">
        <v>304</v>
      </c>
      <c r="E150" s="17" t="s">
        <v>773</v>
      </c>
      <c r="F150" s="27" t="s">
        <v>774</v>
      </c>
      <c r="G150" s="17">
        <v>63</v>
      </c>
      <c r="H150" s="17" t="s">
        <v>45</v>
      </c>
      <c r="I150" s="17" t="s">
        <v>769</v>
      </c>
      <c r="J150" s="17">
        <v>7310205</v>
      </c>
      <c r="K150" s="17">
        <v>7</v>
      </c>
      <c r="L150" s="17" t="s">
        <v>494</v>
      </c>
      <c r="M150" s="17">
        <v>3</v>
      </c>
      <c r="N150" s="17">
        <v>7</v>
      </c>
      <c r="O150" s="17" t="s">
        <v>75</v>
      </c>
      <c r="P150" s="17" t="s">
        <v>76</v>
      </c>
      <c r="Q150" s="17" t="s">
        <v>543</v>
      </c>
      <c r="R150" s="22">
        <v>1565000</v>
      </c>
      <c r="S150" s="22">
        <f t="shared" si="4"/>
        <v>1095500</v>
      </c>
      <c r="T150" s="22">
        <v>5</v>
      </c>
      <c r="U150" s="22">
        <f t="shared" si="3"/>
        <v>5477500</v>
      </c>
      <c r="V150" s="17" t="s">
        <v>775</v>
      </c>
      <c r="W150" s="17" t="s">
        <v>776</v>
      </c>
      <c r="X150" s="17" t="s">
        <v>777</v>
      </c>
      <c r="Y150" s="17" t="s">
        <v>42</v>
      </c>
    </row>
    <row r="151" spans="1:25" ht="29.25" customHeight="1" x14ac:dyDescent="0.25">
      <c r="A151" s="17">
        <v>143</v>
      </c>
      <c r="B151" s="17">
        <v>57</v>
      </c>
      <c r="C151" s="17">
        <v>349</v>
      </c>
      <c r="D151" s="17">
        <v>305</v>
      </c>
      <c r="E151" s="17" t="s">
        <v>778</v>
      </c>
      <c r="F151" s="27" t="s">
        <v>779</v>
      </c>
      <c r="G151" s="17">
        <v>63</v>
      </c>
      <c r="H151" s="17" t="s">
        <v>45</v>
      </c>
      <c r="I151" s="17" t="s">
        <v>769</v>
      </c>
      <c r="J151" s="17">
        <v>7310205</v>
      </c>
      <c r="K151" s="17">
        <v>7</v>
      </c>
      <c r="L151" s="17" t="s">
        <v>494</v>
      </c>
      <c r="M151" s="17">
        <v>3</v>
      </c>
      <c r="N151" s="17">
        <v>7</v>
      </c>
      <c r="O151" s="17" t="s">
        <v>75</v>
      </c>
      <c r="P151" s="17" t="s">
        <v>76</v>
      </c>
      <c r="Q151" s="17" t="s">
        <v>213</v>
      </c>
      <c r="R151" s="22">
        <v>1565000</v>
      </c>
      <c r="S151" s="22">
        <f t="shared" si="4"/>
        <v>1095500</v>
      </c>
      <c r="T151" s="22">
        <v>5</v>
      </c>
      <c r="U151" s="22">
        <f t="shared" si="3"/>
        <v>5477500</v>
      </c>
      <c r="V151" s="17" t="s">
        <v>780</v>
      </c>
      <c r="W151" s="17" t="s">
        <v>781</v>
      </c>
      <c r="X151" s="17" t="s">
        <v>782</v>
      </c>
      <c r="Y151" s="17" t="s">
        <v>42</v>
      </c>
    </row>
    <row r="152" spans="1:25" ht="29.25" customHeight="1" x14ac:dyDescent="0.25">
      <c r="A152" s="17">
        <v>144</v>
      </c>
      <c r="B152" s="17">
        <v>58</v>
      </c>
      <c r="C152" s="17">
        <v>544</v>
      </c>
      <c r="D152" s="17">
        <v>492</v>
      </c>
      <c r="E152" s="17" t="s">
        <v>783</v>
      </c>
      <c r="F152" s="27" t="s">
        <v>784</v>
      </c>
      <c r="G152" s="17">
        <v>63</v>
      </c>
      <c r="H152" s="17" t="s">
        <v>45</v>
      </c>
      <c r="I152" s="17" t="s">
        <v>769</v>
      </c>
      <c r="J152" s="17">
        <v>7310205</v>
      </c>
      <c r="K152" s="17">
        <v>7</v>
      </c>
      <c r="L152" s="17" t="s">
        <v>494</v>
      </c>
      <c r="M152" s="17">
        <v>3</v>
      </c>
      <c r="N152" s="17">
        <v>7</v>
      </c>
      <c r="O152" s="17" t="s">
        <v>75</v>
      </c>
      <c r="P152" s="17" t="s">
        <v>76</v>
      </c>
      <c r="Q152" s="17" t="s">
        <v>69</v>
      </c>
      <c r="R152" s="22">
        <v>1565000</v>
      </c>
      <c r="S152" s="22">
        <f t="shared" si="4"/>
        <v>1095500</v>
      </c>
      <c r="T152" s="22">
        <v>5</v>
      </c>
      <c r="U152" s="22">
        <f t="shared" si="3"/>
        <v>5477500</v>
      </c>
      <c r="V152" s="17" t="s">
        <v>785</v>
      </c>
      <c r="W152" s="17" t="s">
        <v>786</v>
      </c>
      <c r="X152" s="17" t="s">
        <v>787</v>
      </c>
      <c r="Y152" s="17" t="s">
        <v>42</v>
      </c>
    </row>
    <row r="153" spans="1:25" ht="29.25" customHeight="1" x14ac:dyDescent="0.25">
      <c r="A153" s="17">
        <v>145</v>
      </c>
      <c r="B153" s="17">
        <v>59</v>
      </c>
      <c r="C153" s="17">
        <v>452</v>
      </c>
      <c r="D153" s="17">
        <v>400</v>
      </c>
      <c r="E153" s="30" t="s">
        <v>788</v>
      </c>
      <c r="F153" s="27" t="s">
        <v>789</v>
      </c>
      <c r="G153" s="17">
        <v>64</v>
      </c>
      <c r="H153" s="17" t="s">
        <v>61</v>
      </c>
      <c r="I153" s="17" t="s">
        <v>769</v>
      </c>
      <c r="J153" s="17">
        <v>7310205</v>
      </c>
      <c r="K153" s="17">
        <v>7</v>
      </c>
      <c r="L153" s="17" t="s">
        <v>494</v>
      </c>
      <c r="M153" s="17">
        <v>3</v>
      </c>
      <c r="N153" s="17">
        <v>7</v>
      </c>
      <c r="O153" s="17" t="s">
        <v>75</v>
      </c>
      <c r="P153" s="17" t="s">
        <v>76</v>
      </c>
      <c r="Q153" s="17" t="s">
        <v>69</v>
      </c>
      <c r="R153" s="22">
        <v>1565000</v>
      </c>
      <c r="S153" s="22">
        <f t="shared" si="4"/>
        <v>1095500</v>
      </c>
      <c r="T153" s="22">
        <v>5</v>
      </c>
      <c r="U153" s="22">
        <f t="shared" si="3"/>
        <v>5477500</v>
      </c>
      <c r="V153" s="30" t="s">
        <v>790</v>
      </c>
      <c r="W153" s="30" t="s">
        <v>791</v>
      </c>
      <c r="X153" s="30" t="s">
        <v>792</v>
      </c>
      <c r="Y153" s="17" t="s">
        <v>52</v>
      </c>
    </row>
    <row r="154" spans="1:25" ht="29.25" customHeight="1" x14ac:dyDescent="0.25">
      <c r="A154" s="17">
        <v>146</v>
      </c>
      <c r="B154" s="17">
        <v>60</v>
      </c>
      <c r="C154" s="17">
        <v>453</v>
      </c>
      <c r="D154" s="17">
        <v>401</v>
      </c>
      <c r="E154" s="30" t="s">
        <v>793</v>
      </c>
      <c r="F154" s="27" t="s">
        <v>794</v>
      </c>
      <c r="G154" s="17">
        <v>64</v>
      </c>
      <c r="H154" s="17" t="s">
        <v>61</v>
      </c>
      <c r="I154" s="17" t="s">
        <v>769</v>
      </c>
      <c r="J154" s="17">
        <v>7310205</v>
      </c>
      <c r="K154" s="17">
        <v>7</v>
      </c>
      <c r="L154" s="17" t="s">
        <v>494</v>
      </c>
      <c r="M154" s="17">
        <v>3</v>
      </c>
      <c r="N154" s="17">
        <v>7</v>
      </c>
      <c r="O154" s="17" t="s">
        <v>62</v>
      </c>
      <c r="P154" s="17" t="s">
        <v>38</v>
      </c>
      <c r="Q154" s="17" t="s">
        <v>69</v>
      </c>
      <c r="R154" s="22">
        <v>1565000</v>
      </c>
      <c r="S154" s="22">
        <f>R154</f>
        <v>1565000</v>
      </c>
      <c r="T154" s="22">
        <v>5</v>
      </c>
      <c r="U154" s="22">
        <f t="shared" si="3"/>
        <v>7825000</v>
      </c>
      <c r="V154" s="30" t="s">
        <v>795</v>
      </c>
      <c r="W154" s="30" t="s">
        <v>796</v>
      </c>
      <c r="X154" s="51">
        <v>105879835155</v>
      </c>
      <c r="Y154" s="17" t="s">
        <v>52</v>
      </c>
    </row>
    <row r="155" spans="1:25" ht="29.25" customHeight="1" x14ac:dyDescent="0.25">
      <c r="A155" s="17">
        <v>147</v>
      </c>
      <c r="B155" s="17">
        <v>61</v>
      </c>
      <c r="C155" s="17">
        <v>454</v>
      </c>
      <c r="D155" s="17">
        <v>402</v>
      </c>
      <c r="E155" s="30" t="s">
        <v>797</v>
      </c>
      <c r="F155" s="27" t="s">
        <v>798</v>
      </c>
      <c r="G155" s="17">
        <v>64</v>
      </c>
      <c r="H155" s="17" t="s">
        <v>61</v>
      </c>
      <c r="I155" s="17" t="s">
        <v>769</v>
      </c>
      <c r="J155" s="17">
        <v>7310205</v>
      </c>
      <c r="K155" s="17">
        <v>7</v>
      </c>
      <c r="L155" s="17" t="s">
        <v>494</v>
      </c>
      <c r="M155" s="17">
        <v>3</v>
      </c>
      <c r="N155" s="17">
        <v>7</v>
      </c>
      <c r="O155" s="17" t="s">
        <v>75</v>
      </c>
      <c r="P155" s="17" t="s">
        <v>76</v>
      </c>
      <c r="Q155" s="17" t="s">
        <v>543</v>
      </c>
      <c r="R155" s="22">
        <v>1565000</v>
      </c>
      <c r="S155" s="22">
        <f>R155*70%</f>
        <v>1095500</v>
      </c>
      <c r="T155" s="22">
        <v>5</v>
      </c>
      <c r="U155" s="22">
        <f t="shared" si="3"/>
        <v>5477500</v>
      </c>
      <c r="V155" s="30" t="s">
        <v>799</v>
      </c>
      <c r="W155" s="30" t="s">
        <v>800</v>
      </c>
      <c r="X155" s="30" t="s">
        <v>801</v>
      </c>
      <c r="Y155" s="17" t="s">
        <v>52</v>
      </c>
    </row>
    <row r="156" spans="1:25" ht="29.25" customHeight="1" x14ac:dyDescent="0.25">
      <c r="A156" s="17">
        <v>148</v>
      </c>
      <c r="B156" s="17">
        <v>62</v>
      </c>
      <c r="C156" s="17">
        <v>456</v>
      </c>
      <c r="D156" s="17">
        <v>404</v>
      </c>
      <c r="E156" s="30" t="s">
        <v>802</v>
      </c>
      <c r="F156" s="27" t="s">
        <v>803</v>
      </c>
      <c r="G156" s="17">
        <v>64</v>
      </c>
      <c r="H156" s="17" t="s">
        <v>61</v>
      </c>
      <c r="I156" s="17" t="s">
        <v>769</v>
      </c>
      <c r="J156" s="17">
        <v>7310205</v>
      </c>
      <c r="K156" s="17">
        <v>7</v>
      </c>
      <c r="L156" s="17" t="s">
        <v>494</v>
      </c>
      <c r="M156" s="17">
        <v>3</v>
      </c>
      <c r="N156" s="17">
        <v>7</v>
      </c>
      <c r="O156" s="17" t="s">
        <v>62</v>
      </c>
      <c r="P156" s="17" t="s">
        <v>38</v>
      </c>
      <c r="Q156" s="17" t="s">
        <v>69</v>
      </c>
      <c r="R156" s="22">
        <v>1565000</v>
      </c>
      <c r="S156" s="22">
        <f>R156</f>
        <v>1565000</v>
      </c>
      <c r="T156" s="22">
        <v>5</v>
      </c>
      <c r="U156" s="22">
        <f t="shared" si="3"/>
        <v>7825000</v>
      </c>
      <c r="V156" s="30" t="s">
        <v>804</v>
      </c>
      <c r="W156" s="30" t="s">
        <v>805</v>
      </c>
      <c r="X156" s="51">
        <v>102879835158</v>
      </c>
      <c r="Y156" s="17" t="s">
        <v>52</v>
      </c>
    </row>
    <row r="157" spans="1:25" ht="29.25" customHeight="1" x14ac:dyDescent="0.25">
      <c r="A157" s="17">
        <v>149</v>
      </c>
      <c r="B157" s="17">
        <v>63</v>
      </c>
      <c r="C157" s="17">
        <v>572</v>
      </c>
      <c r="D157" s="17">
        <v>520</v>
      </c>
      <c r="E157" s="30" t="s">
        <v>806</v>
      </c>
      <c r="F157" s="27" t="s">
        <v>807</v>
      </c>
      <c r="G157" s="17">
        <v>65</v>
      </c>
      <c r="H157" s="17" t="s">
        <v>68</v>
      </c>
      <c r="I157" s="17" t="s">
        <v>769</v>
      </c>
      <c r="J157" s="17">
        <v>7310205</v>
      </c>
      <c r="K157" s="17">
        <v>7</v>
      </c>
      <c r="L157" s="17" t="s">
        <v>494</v>
      </c>
      <c r="M157" s="17">
        <v>3</v>
      </c>
      <c r="N157" s="17">
        <v>7</v>
      </c>
      <c r="O157" s="17" t="s">
        <v>75</v>
      </c>
      <c r="P157" s="17" t="s">
        <v>76</v>
      </c>
      <c r="Q157" s="17" t="s">
        <v>69</v>
      </c>
      <c r="R157" s="22">
        <v>1565000</v>
      </c>
      <c r="S157" s="22">
        <f>R157*70%</f>
        <v>1095500</v>
      </c>
      <c r="T157" s="22">
        <v>5</v>
      </c>
      <c r="U157" s="22">
        <f t="shared" si="3"/>
        <v>5477500</v>
      </c>
      <c r="V157" s="30" t="s">
        <v>808</v>
      </c>
      <c r="W157" s="30" t="s">
        <v>809</v>
      </c>
      <c r="X157" s="30" t="s">
        <v>809</v>
      </c>
      <c r="Y157" s="17" t="s">
        <v>349</v>
      </c>
    </row>
    <row r="158" spans="1:25" ht="29.25" customHeight="1" x14ac:dyDescent="0.25">
      <c r="A158" s="17">
        <v>150</v>
      </c>
      <c r="B158" s="17">
        <v>64</v>
      </c>
      <c r="C158" s="17">
        <v>573</v>
      </c>
      <c r="D158" s="17">
        <v>521</v>
      </c>
      <c r="E158" s="30" t="s">
        <v>810</v>
      </c>
      <c r="F158" s="27" t="s">
        <v>811</v>
      </c>
      <c r="G158" s="17">
        <v>65</v>
      </c>
      <c r="H158" s="17" t="s">
        <v>68</v>
      </c>
      <c r="I158" s="17" t="s">
        <v>769</v>
      </c>
      <c r="J158" s="17">
        <v>7310205</v>
      </c>
      <c r="K158" s="17">
        <v>7</v>
      </c>
      <c r="L158" s="17" t="s">
        <v>494</v>
      </c>
      <c r="M158" s="17">
        <v>3</v>
      </c>
      <c r="N158" s="17">
        <v>7</v>
      </c>
      <c r="O158" s="17" t="s">
        <v>62</v>
      </c>
      <c r="P158" s="17" t="s">
        <v>38</v>
      </c>
      <c r="Q158" s="17" t="s">
        <v>812</v>
      </c>
      <c r="R158" s="22">
        <v>1565000</v>
      </c>
      <c r="S158" s="22">
        <f>R158</f>
        <v>1565000</v>
      </c>
      <c r="T158" s="22">
        <v>5</v>
      </c>
      <c r="U158" s="22">
        <f t="shared" si="3"/>
        <v>7825000</v>
      </c>
      <c r="V158" s="30" t="s">
        <v>813</v>
      </c>
      <c r="W158" s="30" t="s">
        <v>814</v>
      </c>
      <c r="X158" s="30" t="s">
        <v>815</v>
      </c>
      <c r="Y158" s="17" t="s">
        <v>349</v>
      </c>
    </row>
    <row r="159" spans="1:25" ht="29.25" customHeight="1" x14ac:dyDescent="0.25">
      <c r="A159" s="17">
        <v>151</v>
      </c>
      <c r="B159" s="17">
        <v>65</v>
      </c>
      <c r="C159" s="17">
        <v>574</v>
      </c>
      <c r="D159" s="17">
        <v>522</v>
      </c>
      <c r="E159" s="30" t="s">
        <v>816</v>
      </c>
      <c r="F159" s="27" t="s">
        <v>817</v>
      </c>
      <c r="G159" s="17">
        <v>65</v>
      </c>
      <c r="H159" s="17" t="s">
        <v>68</v>
      </c>
      <c r="I159" s="17" t="s">
        <v>769</v>
      </c>
      <c r="J159" s="17">
        <v>7310205</v>
      </c>
      <c r="K159" s="17">
        <v>7</v>
      </c>
      <c r="L159" s="17" t="s">
        <v>494</v>
      </c>
      <c r="M159" s="17">
        <v>3</v>
      </c>
      <c r="N159" s="17">
        <v>7</v>
      </c>
      <c r="O159" s="17" t="s">
        <v>62</v>
      </c>
      <c r="P159" s="17" t="s">
        <v>38</v>
      </c>
      <c r="Q159" s="17" t="s">
        <v>69</v>
      </c>
      <c r="R159" s="22">
        <v>1565000</v>
      </c>
      <c r="S159" s="22">
        <f>R159</f>
        <v>1565000</v>
      </c>
      <c r="T159" s="22">
        <v>5</v>
      </c>
      <c r="U159" s="22">
        <f t="shared" si="3"/>
        <v>7825000</v>
      </c>
      <c r="V159" s="30" t="s">
        <v>818</v>
      </c>
      <c r="W159" s="30" t="s">
        <v>819</v>
      </c>
      <c r="X159" s="30">
        <v>8813411426</v>
      </c>
      <c r="Y159" s="17" t="s">
        <v>42</v>
      </c>
    </row>
    <row r="160" spans="1:25" ht="29.25" customHeight="1" x14ac:dyDescent="0.25">
      <c r="A160" s="17">
        <v>152</v>
      </c>
      <c r="B160" s="17">
        <v>66</v>
      </c>
      <c r="C160" s="17">
        <v>579</v>
      </c>
      <c r="D160" s="17">
        <v>527</v>
      </c>
      <c r="E160" s="30" t="s">
        <v>820</v>
      </c>
      <c r="F160" s="27" t="s">
        <v>821</v>
      </c>
      <c r="G160" s="17">
        <v>65</v>
      </c>
      <c r="H160" s="17" t="s">
        <v>68</v>
      </c>
      <c r="I160" s="17" t="s">
        <v>769</v>
      </c>
      <c r="J160" s="17">
        <v>7310205</v>
      </c>
      <c r="K160" s="17">
        <v>7</v>
      </c>
      <c r="L160" s="17" t="s">
        <v>494</v>
      </c>
      <c r="M160" s="17">
        <v>3</v>
      </c>
      <c r="N160" s="17">
        <v>7</v>
      </c>
      <c r="O160" s="17" t="s">
        <v>75</v>
      </c>
      <c r="P160" s="17" t="s">
        <v>76</v>
      </c>
      <c r="Q160" s="17" t="s">
        <v>69</v>
      </c>
      <c r="R160" s="22">
        <v>1565000</v>
      </c>
      <c r="S160" s="22">
        <f>R160*70%</f>
        <v>1095500</v>
      </c>
      <c r="T160" s="22">
        <v>5</v>
      </c>
      <c r="U160" s="22">
        <f t="shared" si="3"/>
        <v>5477500</v>
      </c>
      <c r="V160" s="30" t="s">
        <v>822</v>
      </c>
      <c r="W160" s="30" t="s">
        <v>823</v>
      </c>
      <c r="X160" s="30" t="s">
        <v>823</v>
      </c>
      <c r="Y160" s="17" t="s">
        <v>102</v>
      </c>
    </row>
    <row r="161" spans="1:25" ht="29.25" customHeight="1" x14ac:dyDescent="0.25">
      <c r="A161" s="17">
        <v>153</v>
      </c>
      <c r="B161" s="17">
        <v>67</v>
      </c>
      <c r="C161" s="17">
        <v>300</v>
      </c>
      <c r="D161" s="17">
        <v>609</v>
      </c>
      <c r="E161" s="30" t="s">
        <v>824</v>
      </c>
      <c r="F161" s="27" t="s">
        <v>825</v>
      </c>
      <c r="G161" s="17">
        <v>65</v>
      </c>
      <c r="H161" s="17" t="s">
        <v>68</v>
      </c>
      <c r="I161" s="17" t="s">
        <v>769</v>
      </c>
      <c r="J161" s="17">
        <v>7310205</v>
      </c>
      <c r="K161" s="17">
        <v>7</v>
      </c>
      <c r="L161" s="17" t="s">
        <v>494</v>
      </c>
      <c r="M161" s="17">
        <v>3</v>
      </c>
      <c r="N161" s="17">
        <v>7</v>
      </c>
      <c r="O161" s="17" t="s">
        <v>258</v>
      </c>
      <c r="P161" s="17" t="s">
        <v>38</v>
      </c>
      <c r="Q161" s="17"/>
      <c r="R161" s="22">
        <v>1565000</v>
      </c>
      <c r="S161" s="22">
        <f>R161</f>
        <v>1565000</v>
      </c>
      <c r="T161" s="22">
        <v>5</v>
      </c>
      <c r="U161" s="22">
        <f t="shared" si="3"/>
        <v>7825000</v>
      </c>
      <c r="V161" s="30" t="s">
        <v>826</v>
      </c>
      <c r="W161" s="30" t="s">
        <v>827</v>
      </c>
      <c r="X161" s="30" t="s">
        <v>827</v>
      </c>
      <c r="Y161" s="17" t="s">
        <v>102</v>
      </c>
    </row>
    <row r="162" spans="1:25" ht="29.25" customHeight="1" x14ac:dyDescent="0.25">
      <c r="A162" s="17">
        <v>154</v>
      </c>
      <c r="B162" s="17">
        <v>68</v>
      </c>
      <c r="C162" s="38">
        <v>667</v>
      </c>
      <c r="D162" s="38">
        <v>615</v>
      </c>
      <c r="E162" s="32" t="s">
        <v>828</v>
      </c>
      <c r="F162" s="39" t="s">
        <v>829</v>
      </c>
      <c r="G162" s="38">
        <v>65</v>
      </c>
      <c r="H162" s="38" t="s">
        <v>68</v>
      </c>
      <c r="I162" s="17" t="s">
        <v>769</v>
      </c>
      <c r="J162" s="17">
        <v>7310205</v>
      </c>
      <c r="K162" s="17">
        <v>7</v>
      </c>
      <c r="L162" s="17" t="s">
        <v>494</v>
      </c>
      <c r="M162" s="38">
        <v>3</v>
      </c>
      <c r="N162" s="17">
        <v>7</v>
      </c>
      <c r="O162" s="17" t="s">
        <v>62</v>
      </c>
      <c r="P162" s="17" t="s">
        <v>38</v>
      </c>
      <c r="Q162" s="17" t="s">
        <v>69</v>
      </c>
      <c r="R162" s="22">
        <v>1565000</v>
      </c>
      <c r="S162" s="22">
        <f>R162</f>
        <v>1565000</v>
      </c>
      <c r="T162" s="22">
        <v>5</v>
      </c>
      <c r="U162" s="22">
        <f t="shared" si="3"/>
        <v>7825000</v>
      </c>
      <c r="V162" s="49" t="s">
        <v>830</v>
      </c>
      <c r="W162" s="49" t="s">
        <v>831</v>
      </c>
      <c r="X162" s="49" t="s">
        <v>832</v>
      </c>
      <c r="Y162" s="17" t="s">
        <v>310</v>
      </c>
    </row>
    <row r="163" spans="1:25" ht="29.25" customHeight="1" x14ac:dyDescent="0.25">
      <c r="A163" s="17">
        <v>155</v>
      </c>
      <c r="B163" s="17">
        <v>69</v>
      </c>
      <c r="C163" s="17">
        <v>717</v>
      </c>
      <c r="D163" s="17">
        <v>665</v>
      </c>
      <c r="E163" s="30" t="s">
        <v>833</v>
      </c>
      <c r="F163" s="27" t="s">
        <v>834</v>
      </c>
      <c r="G163" s="17">
        <v>66</v>
      </c>
      <c r="H163" s="17" t="s">
        <v>82</v>
      </c>
      <c r="I163" s="20" t="s">
        <v>769</v>
      </c>
      <c r="J163" s="20">
        <v>7310205</v>
      </c>
      <c r="K163" s="20">
        <v>7</v>
      </c>
      <c r="L163" s="17" t="s">
        <v>494</v>
      </c>
      <c r="M163" s="17">
        <v>3</v>
      </c>
      <c r="N163" s="20">
        <v>7</v>
      </c>
      <c r="O163" s="20" t="s">
        <v>75</v>
      </c>
      <c r="P163" s="20" t="s">
        <v>76</v>
      </c>
      <c r="Q163" s="17" t="s">
        <v>835</v>
      </c>
      <c r="R163" s="33">
        <v>1565000</v>
      </c>
      <c r="S163" s="22">
        <f>R163*70%</f>
        <v>1095500</v>
      </c>
      <c r="T163" s="22">
        <v>5</v>
      </c>
      <c r="U163" s="22">
        <f t="shared" si="3"/>
        <v>5477500</v>
      </c>
      <c r="V163" s="30" t="s">
        <v>836</v>
      </c>
      <c r="W163" s="30" t="s">
        <v>837</v>
      </c>
      <c r="X163" s="30" t="s">
        <v>837</v>
      </c>
      <c r="Y163" s="17" t="s">
        <v>102</v>
      </c>
    </row>
    <row r="164" spans="1:25" ht="29.25" customHeight="1" x14ac:dyDescent="0.25">
      <c r="A164" s="17">
        <v>156</v>
      </c>
      <c r="B164" s="17">
        <v>70</v>
      </c>
      <c r="C164" s="17">
        <v>718</v>
      </c>
      <c r="D164" s="17">
        <v>666</v>
      </c>
      <c r="E164" s="30" t="s">
        <v>838</v>
      </c>
      <c r="F164" s="27" t="s">
        <v>839</v>
      </c>
      <c r="G164" s="17">
        <v>66</v>
      </c>
      <c r="H164" s="17" t="s">
        <v>82</v>
      </c>
      <c r="I164" s="20" t="s">
        <v>769</v>
      </c>
      <c r="J164" s="20">
        <v>7310205</v>
      </c>
      <c r="K164" s="20">
        <v>7</v>
      </c>
      <c r="L164" s="17" t="s">
        <v>494</v>
      </c>
      <c r="M164" s="17">
        <v>3</v>
      </c>
      <c r="N164" s="20">
        <v>7</v>
      </c>
      <c r="O164" s="20" t="s">
        <v>62</v>
      </c>
      <c r="P164" s="20" t="s">
        <v>38</v>
      </c>
      <c r="Q164" s="17" t="s">
        <v>69</v>
      </c>
      <c r="R164" s="33">
        <v>1565000</v>
      </c>
      <c r="S164" s="22">
        <f>R164</f>
        <v>1565000</v>
      </c>
      <c r="T164" s="22">
        <v>5</v>
      </c>
      <c r="U164" s="22">
        <f t="shared" si="3"/>
        <v>7825000</v>
      </c>
      <c r="V164" s="30" t="s">
        <v>840</v>
      </c>
      <c r="W164" s="30" t="s">
        <v>841</v>
      </c>
      <c r="X164" s="30" t="s">
        <v>841</v>
      </c>
      <c r="Y164" s="17" t="s">
        <v>102</v>
      </c>
    </row>
    <row r="165" spans="1:25" ht="29.25" customHeight="1" x14ac:dyDescent="0.25">
      <c r="A165" s="17">
        <v>157</v>
      </c>
      <c r="B165" s="17">
        <v>71</v>
      </c>
      <c r="C165" s="17">
        <v>719</v>
      </c>
      <c r="D165" s="17">
        <v>667</v>
      </c>
      <c r="E165" s="30" t="s">
        <v>842</v>
      </c>
      <c r="F165" s="27" t="s">
        <v>843</v>
      </c>
      <c r="G165" s="17">
        <v>66</v>
      </c>
      <c r="H165" s="17" t="s">
        <v>82</v>
      </c>
      <c r="I165" s="20" t="s">
        <v>769</v>
      </c>
      <c r="J165" s="20">
        <v>7310205</v>
      </c>
      <c r="K165" s="20">
        <v>7</v>
      </c>
      <c r="L165" s="17" t="s">
        <v>494</v>
      </c>
      <c r="M165" s="17">
        <v>3</v>
      </c>
      <c r="N165" s="20">
        <v>7</v>
      </c>
      <c r="O165" s="20" t="s">
        <v>62</v>
      </c>
      <c r="P165" s="20" t="s">
        <v>38</v>
      </c>
      <c r="Q165" s="17" t="s">
        <v>69</v>
      </c>
      <c r="R165" s="33">
        <v>1565000</v>
      </c>
      <c r="S165" s="22">
        <f>R165</f>
        <v>1565000</v>
      </c>
      <c r="T165" s="22">
        <v>5</v>
      </c>
      <c r="U165" s="22">
        <f t="shared" si="3"/>
        <v>7825000</v>
      </c>
      <c r="V165" s="30" t="s">
        <v>844</v>
      </c>
      <c r="W165" s="30" t="s">
        <v>845</v>
      </c>
      <c r="X165" s="30" t="s">
        <v>846</v>
      </c>
      <c r="Y165" s="17" t="s">
        <v>42</v>
      </c>
    </row>
    <row r="166" spans="1:25" ht="29.25" customHeight="1" x14ac:dyDescent="0.25">
      <c r="A166" s="17">
        <v>158</v>
      </c>
      <c r="B166" s="17">
        <v>72</v>
      </c>
      <c r="C166" s="17">
        <v>720</v>
      </c>
      <c r="D166" s="17">
        <v>668</v>
      </c>
      <c r="E166" s="30" t="s">
        <v>847</v>
      </c>
      <c r="F166" s="27" t="s">
        <v>848</v>
      </c>
      <c r="G166" s="17">
        <v>66</v>
      </c>
      <c r="H166" s="17" t="s">
        <v>82</v>
      </c>
      <c r="I166" s="20" t="s">
        <v>769</v>
      </c>
      <c r="J166" s="20">
        <v>7310205</v>
      </c>
      <c r="K166" s="20">
        <v>7</v>
      </c>
      <c r="L166" s="17" t="s">
        <v>494</v>
      </c>
      <c r="M166" s="17">
        <v>3</v>
      </c>
      <c r="N166" s="20">
        <v>7</v>
      </c>
      <c r="O166" s="20" t="s">
        <v>75</v>
      </c>
      <c r="P166" s="20" t="s">
        <v>76</v>
      </c>
      <c r="Q166" s="17" t="s">
        <v>704</v>
      </c>
      <c r="R166" s="33">
        <v>1565000</v>
      </c>
      <c r="S166" s="22">
        <f>R166*70%</f>
        <v>1095500</v>
      </c>
      <c r="T166" s="22">
        <v>5</v>
      </c>
      <c r="U166" s="22">
        <f t="shared" si="3"/>
        <v>5477500</v>
      </c>
      <c r="V166" s="30" t="s">
        <v>849</v>
      </c>
      <c r="W166" s="30" t="s">
        <v>850</v>
      </c>
      <c r="X166" s="30" t="s">
        <v>851</v>
      </c>
      <c r="Y166" s="17" t="s">
        <v>42</v>
      </c>
    </row>
    <row r="167" spans="1:25" ht="29.25" customHeight="1" x14ac:dyDescent="0.25">
      <c r="A167" s="17">
        <v>159</v>
      </c>
      <c r="B167" s="17">
        <v>73</v>
      </c>
      <c r="C167" s="17">
        <v>721</v>
      </c>
      <c r="D167" s="17">
        <v>669</v>
      </c>
      <c r="E167" s="30" t="s">
        <v>852</v>
      </c>
      <c r="F167" s="27" t="s">
        <v>853</v>
      </c>
      <c r="G167" s="17">
        <v>66</v>
      </c>
      <c r="H167" s="17" t="s">
        <v>82</v>
      </c>
      <c r="I167" s="20" t="s">
        <v>769</v>
      </c>
      <c r="J167" s="20">
        <v>7310205</v>
      </c>
      <c r="K167" s="20">
        <v>7</v>
      </c>
      <c r="L167" s="17" t="s">
        <v>494</v>
      </c>
      <c r="M167" s="17">
        <v>3</v>
      </c>
      <c r="N167" s="20">
        <v>7</v>
      </c>
      <c r="O167" s="20" t="s">
        <v>75</v>
      </c>
      <c r="P167" s="20" t="s">
        <v>76</v>
      </c>
      <c r="Q167" s="17" t="s">
        <v>69</v>
      </c>
      <c r="R167" s="33">
        <v>1565000</v>
      </c>
      <c r="S167" s="22">
        <f>R167*70%</f>
        <v>1095500</v>
      </c>
      <c r="T167" s="22">
        <v>5</v>
      </c>
      <c r="U167" s="22">
        <f t="shared" si="3"/>
        <v>5477500</v>
      </c>
      <c r="V167" s="30" t="s">
        <v>854</v>
      </c>
      <c r="W167" s="30" t="s">
        <v>855</v>
      </c>
      <c r="X167" s="30" t="s">
        <v>855</v>
      </c>
      <c r="Y167" s="17" t="s">
        <v>102</v>
      </c>
    </row>
    <row r="168" spans="1:25" ht="29.25" customHeight="1" x14ac:dyDescent="0.25">
      <c r="A168" s="17">
        <v>160</v>
      </c>
      <c r="B168" s="17">
        <v>74</v>
      </c>
      <c r="C168" s="17">
        <v>570</v>
      </c>
      <c r="D168" s="17">
        <v>518</v>
      </c>
      <c r="E168" s="30" t="s">
        <v>856</v>
      </c>
      <c r="F168" s="27" t="s">
        <v>857</v>
      </c>
      <c r="G168" s="17">
        <v>65</v>
      </c>
      <c r="H168" s="17" t="s">
        <v>68</v>
      </c>
      <c r="I168" s="17" t="s">
        <v>858</v>
      </c>
      <c r="J168" s="17">
        <v>7229042</v>
      </c>
      <c r="K168" s="17">
        <v>7</v>
      </c>
      <c r="L168" s="17" t="s">
        <v>494</v>
      </c>
      <c r="M168" s="17">
        <v>3</v>
      </c>
      <c r="N168" s="17">
        <v>7</v>
      </c>
      <c r="O168" s="17" t="s">
        <v>62</v>
      </c>
      <c r="P168" s="17" t="s">
        <v>38</v>
      </c>
      <c r="Q168" s="17" t="s">
        <v>69</v>
      </c>
      <c r="R168" s="22">
        <v>1565000</v>
      </c>
      <c r="S168" s="22">
        <f>R168</f>
        <v>1565000</v>
      </c>
      <c r="T168" s="22">
        <v>5</v>
      </c>
      <c r="U168" s="22">
        <f t="shared" si="3"/>
        <v>7825000</v>
      </c>
      <c r="V168" s="30" t="s">
        <v>859</v>
      </c>
      <c r="W168" s="30" t="s">
        <v>860</v>
      </c>
      <c r="X168" s="32" t="s">
        <v>861</v>
      </c>
      <c r="Y168" s="17" t="s">
        <v>52</v>
      </c>
    </row>
    <row r="169" spans="1:25" ht="29.25" customHeight="1" x14ac:dyDescent="0.25">
      <c r="A169" s="17">
        <v>161</v>
      </c>
      <c r="B169" s="17">
        <v>75</v>
      </c>
      <c r="C169" s="17">
        <v>571</v>
      </c>
      <c r="D169" s="17">
        <v>519</v>
      </c>
      <c r="E169" s="30" t="s">
        <v>862</v>
      </c>
      <c r="F169" s="27" t="s">
        <v>863</v>
      </c>
      <c r="G169" s="17">
        <v>65</v>
      </c>
      <c r="H169" s="17" t="s">
        <v>68</v>
      </c>
      <c r="I169" s="17" t="s">
        <v>858</v>
      </c>
      <c r="J169" s="17">
        <v>7229042</v>
      </c>
      <c r="K169" s="17">
        <v>7</v>
      </c>
      <c r="L169" s="17" t="s">
        <v>494</v>
      </c>
      <c r="M169" s="17">
        <v>3</v>
      </c>
      <c r="N169" s="17">
        <v>7</v>
      </c>
      <c r="O169" s="17" t="s">
        <v>75</v>
      </c>
      <c r="P169" s="17" t="s">
        <v>76</v>
      </c>
      <c r="Q169" s="17" t="s">
        <v>543</v>
      </c>
      <c r="R169" s="22">
        <v>1565000</v>
      </c>
      <c r="S169" s="22">
        <f>R169*70%</f>
        <v>1095500</v>
      </c>
      <c r="T169" s="22">
        <v>5</v>
      </c>
      <c r="U169" s="22">
        <f t="shared" si="3"/>
        <v>5477500</v>
      </c>
      <c r="V169" s="30" t="s">
        <v>864</v>
      </c>
      <c r="W169" s="30" t="s">
        <v>865</v>
      </c>
      <c r="X169" s="32" t="s">
        <v>866</v>
      </c>
      <c r="Y169" s="17" t="s">
        <v>52</v>
      </c>
    </row>
    <row r="170" spans="1:25" ht="29.25" customHeight="1" x14ac:dyDescent="0.25">
      <c r="A170" s="17">
        <v>162</v>
      </c>
      <c r="B170" s="17">
        <v>76</v>
      </c>
      <c r="C170" s="17">
        <v>712</v>
      </c>
      <c r="D170" s="17">
        <v>660</v>
      </c>
      <c r="E170" s="30" t="s">
        <v>867</v>
      </c>
      <c r="F170" s="27" t="s">
        <v>868</v>
      </c>
      <c r="G170" s="17">
        <v>66</v>
      </c>
      <c r="H170" s="17" t="s">
        <v>82</v>
      </c>
      <c r="I170" s="20" t="s">
        <v>858</v>
      </c>
      <c r="J170" s="20">
        <v>7229042</v>
      </c>
      <c r="K170" s="20">
        <v>7</v>
      </c>
      <c r="L170" s="17" t="s">
        <v>494</v>
      </c>
      <c r="M170" s="17">
        <v>3</v>
      </c>
      <c r="N170" s="20">
        <v>7</v>
      </c>
      <c r="O170" s="20" t="s">
        <v>62</v>
      </c>
      <c r="P170" s="20" t="s">
        <v>38</v>
      </c>
      <c r="Q170" s="17" t="s">
        <v>189</v>
      </c>
      <c r="R170" s="33">
        <v>1565000</v>
      </c>
      <c r="S170" s="22">
        <f>R170</f>
        <v>1565000</v>
      </c>
      <c r="T170" s="22">
        <v>5</v>
      </c>
      <c r="U170" s="22">
        <f t="shared" si="3"/>
        <v>7825000</v>
      </c>
      <c r="V170" s="30" t="s">
        <v>869</v>
      </c>
      <c r="W170" s="30" t="s">
        <v>870</v>
      </c>
      <c r="X170" s="17">
        <v>22202012007</v>
      </c>
      <c r="Y170" s="17" t="s">
        <v>102</v>
      </c>
    </row>
    <row r="171" spans="1:25" ht="29.25" customHeight="1" x14ac:dyDescent="0.25">
      <c r="A171" s="17">
        <v>163</v>
      </c>
      <c r="B171" s="17">
        <v>77</v>
      </c>
      <c r="C171" s="17">
        <v>713</v>
      </c>
      <c r="D171" s="17">
        <v>661</v>
      </c>
      <c r="E171" s="30" t="s">
        <v>871</v>
      </c>
      <c r="F171" s="27" t="s">
        <v>872</v>
      </c>
      <c r="G171" s="17">
        <v>66</v>
      </c>
      <c r="H171" s="17" t="s">
        <v>82</v>
      </c>
      <c r="I171" s="20" t="s">
        <v>858</v>
      </c>
      <c r="J171" s="20">
        <v>7229042</v>
      </c>
      <c r="K171" s="20">
        <v>7</v>
      </c>
      <c r="L171" s="17" t="s">
        <v>494</v>
      </c>
      <c r="M171" s="17">
        <v>3</v>
      </c>
      <c r="N171" s="20">
        <v>7</v>
      </c>
      <c r="O171" s="20" t="s">
        <v>75</v>
      </c>
      <c r="P171" s="20" t="s">
        <v>76</v>
      </c>
      <c r="Q171" s="17" t="s">
        <v>69</v>
      </c>
      <c r="R171" s="33">
        <v>1565000</v>
      </c>
      <c r="S171" s="22">
        <f>R171*70%</f>
        <v>1095500</v>
      </c>
      <c r="T171" s="22">
        <v>5</v>
      </c>
      <c r="U171" s="22">
        <f t="shared" si="3"/>
        <v>5477500</v>
      </c>
      <c r="V171" s="30" t="s">
        <v>873</v>
      </c>
      <c r="W171" s="30" t="s">
        <v>874</v>
      </c>
      <c r="X171" s="30" t="s">
        <v>875</v>
      </c>
      <c r="Y171" s="17" t="s">
        <v>102</v>
      </c>
    </row>
    <row r="172" spans="1:25" ht="29.25" customHeight="1" x14ac:dyDescent="0.25">
      <c r="A172" s="17">
        <v>164</v>
      </c>
      <c r="B172" s="17">
        <v>78</v>
      </c>
      <c r="C172" s="17">
        <v>714</v>
      </c>
      <c r="D172" s="17">
        <v>662</v>
      </c>
      <c r="E172" s="30" t="s">
        <v>876</v>
      </c>
      <c r="F172" s="27" t="s">
        <v>877</v>
      </c>
      <c r="G172" s="17">
        <v>66</v>
      </c>
      <c r="H172" s="17" t="s">
        <v>82</v>
      </c>
      <c r="I172" s="20" t="s">
        <v>858</v>
      </c>
      <c r="J172" s="20">
        <v>7229042</v>
      </c>
      <c r="K172" s="20">
        <v>7</v>
      </c>
      <c r="L172" s="17" t="s">
        <v>494</v>
      </c>
      <c r="M172" s="17">
        <v>3</v>
      </c>
      <c r="N172" s="20">
        <v>7</v>
      </c>
      <c r="O172" s="20" t="s">
        <v>75</v>
      </c>
      <c r="P172" s="20" t="s">
        <v>76</v>
      </c>
      <c r="Q172" s="17" t="s">
        <v>69</v>
      </c>
      <c r="R172" s="33">
        <v>1565000</v>
      </c>
      <c r="S172" s="22">
        <f>R172*70%</f>
        <v>1095500</v>
      </c>
      <c r="T172" s="22">
        <v>5</v>
      </c>
      <c r="U172" s="22">
        <f t="shared" si="3"/>
        <v>5477500</v>
      </c>
      <c r="V172" s="30" t="s">
        <v>878</v>
      </c>
      <c r="W172" s="30" t="s">
        <v>879</v>
      </c>
      <c r="X172" s="30" t="s">
        <v>880</v>
      </c>
      <c r="Y172" s="17" t="s">
        <v>42</v>
      </c>
    </row>
    <row r="173" spans="1:25" ht="29.25" customHeight="1" x14ac:dyDescent="0.25">
      <c r="A173" s="17">
        <v>165</v>
      </c>
      <c r="B173" s="17">
        <v>79</v>
      </c>
      <c r="C173" s="17">
        <v>715</v>
      </c>
      <c r="D173" s="17">
        <v>663</v>
      </c>
      <c r="E173" s="30" t="s">
        <v>881</v>
      </c>
      <c r="F173" s="27" t="s">
        <v>882</v>
      </c>
      <c r="G173" s="17">
        <v>66</v>
      </c>
      <c r="H173" s="17" t="s">
        <v>82</v>
      </c>
      <c r="I173" s="20" t="s">
        <v>858</v>
      </c>
      <c r="J173" s="20">
        <v>7229042</v>
      </c>
      <c r="K173" s="20">
        <v>7</v>
      </c>
      <c r="L173" s="17" t="s">
        <v>494</v>
      </c>
      <c r="M173" s="17">
        <v>3</v>
      </c>
      <c r="N173" s="20">
        <v>7</v>
      </c>
      <c r="O173" s="17" t="s">
        <v>55</v>
      </c>
      <c r="P173" s="20" t="s">
        <v>38</v>
      </c>
      <c r="Q173" s="17"/>
      <c r="R173" s="33">
        <v>1565000</v>
      </c>
      <c r="S173" s="22">
        <f>R173</f>
        <v>1565000</v>
      </c>
      <c r="T173" s="22">
        <v>5</v>
      </c>
      <c r="U173" s="22">
        <f t="shared" si="3"/>
        <v>7825000</v>
      </c>
      <c r="V173" s="30" t="s">
        <v>883</v>
      </c>
      <c r="W173" s="30" t="s">
        <v>884</v>
      </c>
      <c r="X173" s="30" t="s">
        <v>884</v>
      </c>
      <c r="Y173" s="17" t="s">
        <v>584</v>
      </c>
    </row>
    <row r="174" spans="1:25" ht="29.25" customHeight="1" x14ac:dyDescent="0.25">
      <c r="A174" s="17">
        <v>166</v>
      </c>
      <c r="B174" s="17">
        <v>80</v>
      </c>
      <c r="C174" s="17">
        <v>716</v>
      </c>
      <c r="D174" s="17">
        <v>664</v>
      </c>
      <c r="E174" s="30" t="s">
        <v>885</v>
      </c>
      <c r="F174" s="27" t="s">
        <v>886</v>
      </c>
      <c r="G174" s="17">
        <v>66</v>
      </c>
      <c r="H174" s="17" t="s">
        <v>82</v>
      </c>
      <c r="I174" s="20" t="s">
        <v>858</v>
      </c>
      <c r="J174" s="20">
        <v>7229042</v>
      </c>
      <c r="K174" s="20">
        <v>7</v>
      </c>
      <c r="L174" s="17" t="s">
        <v>494</v>
      </c>
      <c r="M174" s="17">
        <v>3</v>
      </c>
      <c r="N174" s="20">
        <v>7</v>
      </c>
      <c r="O174" s="20" t="s">
        <v>75</v>
      </c>
      <c r="P174" s="20" t="s">
        <v>76</v>
      </c>
      <c r="Q174" s="17" t="s">
        <v>69</v>
      </c>
      <c r="R174" s="33">
        <v>1565000</v>
      </c>
      <c r="S174" s="22">
        <f>R174*70%</f>
        <v>1095500</v>
      </c>
      <c r="T174" s="22">
        <v>5</v>
      </c>
      <c r="U174" s="22">
        <f t="shared" si="3"/>
        <v>5477500</v>
      </c>
      <c r="V174" s="30" t="s">
        <v>887</v>
      </c>
      <c r="W174" s="30" t="s">
        <v>888</v>
      </c>
      <c r="X174" s="30" t="s">
        <v>888</v>
      </c>
      <c r="Y174" s="17" t="s">
        <v>102</v>
      </c>
    </row>
    <row r="175" spans="1:25" ht="29.25" customHeight="1" x14ac:dyDescent="0.25">
      <c r="A175" s="17">
        <v>167</v>
      </c>
      <c r="B175" s="17">
        <v>81</v>
      </c>
      <c r="C175" s="17">
        <v>458</v>
      </c>
      <c r="D175" s="17">
        <v>406</v>
      </c>
      <c r="E175" s="30" t="s">
        <v>889</v>
      </c>
      <c r="F175" s="27" t="s">
        <v>890</v>
      </c>
      <c r="G175" s="17">
        <v>64</v>
      </c>
      <c r="H175" s="17" t="s">
        <v>61</v>
      </c>
      <c r="I175" s="17" t="s">
        <v>891</v>
      </c>
      <c r="J175" s="17">
        <v>7310630</v>
      </c>
      <c r="K175" s="17">
        <v>7</v>
      </c>
      <c r="L175" s="17" t="s">
        <v>494</v>
      </c>
      <c r="M175" s="17">
        <v>3</v>
      </c>
      <c r="N175" s="17">
        <v>7</v>
      </c>
      <c r="O175" s="17" t="s">
        <v>892</v>
      </c>
      <c r="P175" s="17" t="s">
        <v>38</v>
      </c>
      <c r="Q175" s="17"/>
      <c r="R175" s="22">
        <v>1565000</v>
      </c>
      <c r="S175" s="22">
        <f>R175</f>
        <v>1565000</v>
      </c>
      <c r="T175" s="22">
        <v>5</v>
      </c>
      <c r="U175" s="22">
        <f t="shared" si="3"/>
        <v>7825000</v>
      </c>
      <c r="V175" s="30" t="s">
        <v>893</v>
      </c>
      <c r="W175" s="30" t="s">
        <v>894</v>
      </c>
      <c r="X175" s="51">
        <f>'[1]TỔNG HỢP'!$Q$75</f>
        <v>105879835213</v>
      </c>
      <c r="Y175" s="17" t="s">
        <v>52</v>
      </c>
    </row>
    <row r="176" spans="1:25" ht="29.25" customHeight="1" x14ac:dyDescent="0.25">
      <c r="A176" s="17">
        <v>168</v>
      </c>
      <c r="B176" s="17">
        <v>82</v>
      </c>
      <c r="C176" s="17">
        <v>459</v>
      </c>
      <c r="D176" s="17">
        <v>407</v>
      </c>
      <c r="E176" s="30" t="s">
        <v>895</v>
      </c>
      <c r="F176" s="27" t="s">
        <v>896</v>
      </c>
      <c r="G176" s="17">
        <v>64</v>
      </c>
      <c r="H176" s="17" t="s">
        <v>61</v>
      </c>
      <c r="I176" s="17" t="s">
        <v>891</v>
      </c>
      <c r="J176" s="17">
        <v>7310630</v>
      </c>
      <c r="K176" s="17">
        <v>7</v>
      </c>
      <c r="L176" s="17" t="s">
        <v>494</v>
      </c>
      <c r="M176" s="17">
        <v>3</v>
      </c>
      <c r="N176" s="17">
        <v>7</v>
      </c>
      <c r="O176" s="17" t="s">
        <v>116</v>
      </c>
      <c r="P176" s="17" t="s">
        <v>38</v>
      </c>
      <c r="Q176" s="17"/>
      <c r="R176" s="22">
        <v>1565000</v>
      </c>
      <c r="S176" s="22">
        <f>R176</f>
        <v>1565000</v>
      </c>
      <c r="T176" s="22">
        <v>5</v>
      </c>
      <c r="U176" s="22">
        <f t="shared" si="3"/>
        <v>7825000</v>
      </c>
      <c r="V176" s="30" t="s">
        <v>897</v>
      </c>
      <c r="W176" s="30" t="s">
        <v>898</v>
      </c>
      <c r="X176" s="30" t="s">
        <v>899</v>
      </c>
      <c r="Y176" s="17" t="s">
        <v>52</v>
      </c>
    </row>
    <row r="177" spans="1:25" ht="29.25" customHeight="1" x14ac:dyDescent="0.25">
      <c r="A177" s="17">
        <v>169</v>
      </c>
      <c r="B177" s="17">
        <v>83</v>
      </c>
      <c r="C177" s="17">
        <v>462</v>
      </c>
      <c r="D177" s="17">
        <v>410</v>
      </c>
      <c r="E177" s="30" t="s">
        <v>900</v>
      </c>
      <c r="F177" s="27" t="s">
        <v>901</v>
      </c>
      <c r="G177" s="17">
        <v>64</v>
      </c>
      <c r="H177" s="17" t="s">
        <v>61</v>
      </c>
      <c r="I177" s="17" t="s">
        <v>891</v>
      </c>
      <c r="J177" s="17">
        <v>7310630</v>
      </c>
      <c r="K177" s="17">
        <v>7</v>
      </c>
      <c r="L177" s="17" t="s">
        <v>494</v>
      </c>
      <c r="M177" s="17">
        <v>3</v>
      </c>
      <c r="N177" s="17">
        <v>7</v>
      </c>
      <c r="O177" s="17" t="s">
        <v>62</v>
      </c>
      <c r="P177" s="17" t="s">
        <v>38</v>
      </c>
      <c r="Q177" s="17" t="s">
        <v>69</v>
      </c>
      <c r="R177" s="22">
        <v>1565000</v>
      </c>
      <c r="S177" s="22">
        <f>R177</f>
        <v>1565000</v>
      </c>
      <c r="T177" s="22">
        <v>5</v>
      </c>
      <c r="U177" s="22">
        <f t="shared" si="3"/>
        <v>7825000</v>
      </c>
      <c r="V177" s="30" t="s">
        <v>902</v>
      </c>
      <c r="W177" s="30" t="s">
        <v>903</v>
      </c>
      <c r="X177" s="30" t="s">
        <v>904</v>
      </c>
      <c r="Y177" s="17" t="s">
        <v>52</v>
      </c>
    </row>
    <row r="178" spans="1:25" ht="29.25" customHeight="1" x14ac:dyDescent="0.25">
      <c r="A178" s="17">
        <v>170</v>
      </c>
      <c r="B178" s="17">
        <v>84</v>
      </c>
      <c r="C178" s="17">
        <v>463</v>
      </c>
      <c r="D178" s="17">
        <v>411</v>
      </c>
      <c r="E178" s="30" t="s">
        <v>905</v>
      </c>
      <c r="F178" s="27" t="s">
        <v>906</v>
      </c>
      <c r="G178" s="17">
        <v>64</v>
      </c>
      <c r="H178" s="17" t="s">
        <v>61</v>
      </c>
      <c r="I178" s="17" t="s">
        <v>891</v>
      </c>
      <c r="J178" s="17">
        <v>7310630</v>
      </c>
      <c r="K178" s="17">
        <v>7</v>
      </c>
      <c r="L178" s="17" t="s">
        <v>494</v>
      </c>
      <c r="M178" s="17">
        <v>3</v>
      </c>
      <c r="N178" s="17">
        <v>7</v>
      </c>
      <c r="O178" s="17" t="s">
        <v>62</v>
      </c>
      <c r="P178" s="17" t="s">
        <v>38</v>
      </c>
      <c r="Q178" s="17" t="s">
        <v>69</v>
      </c>
      <c r="R178" s="22">
        <v>1565000</v>
      </c>
      <c r="S178" s="22">
        <f>R178</f>
        <v>1565000</v>
      </c>
      <c r="T178" s="22">
        <v>5</v>
      </c>
      <c r="U178" s="22">
        <f t="shared" si="3"/>
        <v>7825000</v>
      </c>
      <c r="V178" s="30" t="s">
        <v>907</v>
      </c>
      <c r="W178" s="30" t="s">
        <v>908</v>
      </c>
      <c r="X178" s="51">
        <f>'[1]TỔNG HỢP'!$Q$53</f>
        <v>108879835191</v>
      </c>
      <c r="Y178" s="17" t="s">
        <v>52</v>
      </c>
    </row>
    <row r="179" spans="1:25" ht="29.25" customHeight="1" x14ac:dyDescent="0.25">
      <c r="A179" s="17">
        <v>171</v>
      </c>
      <c r="B179" s="17">
        <v>85</v>
      </c>
      <c r="C179" s="38">
        <v>666</v>
      </c>
      <c r="D179" s="38">
        <v>614</v>
      </c>
      <c r="E179" s="32" t="s">
        <v>909</v>
      </c>
      <c r="F179" s="39" t="s">
        <v>910</v>
      </c>
      <c r="G179" s="38">
        <v>64</v>
      </c>
      <c r="H179" s="38" t="s">
        <v>61</v>
      </c>
      <c r="I179" s="17" t="s">
        <v>891</v>
      </c>
      <c r="J179" s="17">
        <v>7310630</v>
      </c>
      <c r="K179" s="17">
        <v>7</v>
      </c>
      <c r="L179" s="17" t="s">
        <v>494</v>
      </c>
      <c r="M179" s="38">
        <v>3</v>
      </c>
      <c r="N179" s="17">
        <v>7</v>
      </c>
      <c r="O179" s="17" t="s">
        <v>75</v>
      </c>
      <c r="P179" s="38" t="s">
        <v>76</v>
      </c>
      <c r="Q179" s="38" t="s">
        <v>69</v>
      </c>
      <c r="R179" s="22">
        <v>1565000</v>
      </c>
      <c r="S179" s="22">
        <f>R179*70%</f>
        <v>1095500</v>
      </c>
      <c r="T179" s="22">
        <v>5</v>
      </c>
      <c r="U179" s="22">
        <f t="shared" si="3"/>
        <v>5477500</v>
      </c>
      <c r="V179" s="49" t="s">
        <v>911</v>
      </c>
      <c r="W179" s="49" t="s">
        <v>912</v>
      </c>
      <c r="X179" s="49" t="s">
        <v>913</v>
      </c>
      <c r="Y179" s="17" t="s">
        <v>52</v>
      </c>
    </row>
    <row r="180" spans="1:25" ht="29.25" customHeight="1" x14ac:dyDescent="0.25">
      <c r="A180" s="17">
        <v>172</v>
      </c>
      <c r="B180" s="17">
        <v>86</v>
      </c>
      <c r="C180" s="17">
        <v>722</v>
      </c>
      <c r="D180" s="17">
        <v>670</v>
      </c>
      <c r="E180" s="30" t="s">
        <v>914</v>
      </c>
      <c r="F180" s="27" t="s">
        <v>915</v>
      </c>
      <c r="G180" s="17">
        <v>66</v>
      </c>
      <c r="H180" s="17" t="s">
        <v>357</v>
      </c>
      <c r="I180" s="20" t="s">
        <v>891</v>
      </c>
      <c r="J180" s="20">
        <v>7310630</v>
      </c>
      <c r="K180" s="20">
        <v>7</v>
      </c>
      <c r="L180" s="17" t="s">
        <v>494</v>
      </c>
      <c r="M180" s="17">
        <v>3</v>
      </c>
      <c r="N180" s="20">
        <v>7</v>
      </c>
      <c r="O180" s="20" t="s">
        <v>75</v>
      </c>
      <c r="P180" s="20" t="s">
        <v>76</v>
      </c>
      <c r="Q180" s="17" t="s">
        <v>916</v>
      </c>
      <c r="R180" s="33">
        <v>1565000</v>
      </c>
      <c r="S180" s="22">
        <f>R180*70%</f>
        <v>1095500</v>
      </c>
      <c r="T180" s="22">
        <v>5</v>
      </c>
      <c r="U180" s="22">
        <f t="shared" si="3"/>
        <v>5477500</v>
      </c>
      <c r="V180" s="30" t="s">
        <v>917</v>
      </c>
      <c r="W180" s="30" t="s">
        <v>918</v>
      </c>
      <c r="X180" s="30" t="s">
        <v>919</v>
      </c>
      <c r="Y180" s="17" t="s">
        <v>102</v>
      </c>
    </row>
    <row r="181" spans="1:25" ht="29.25" customHeight="1" x14ac:dyDescent="0.25">
      <c r="A181" s="17">
        <v>173</v>
      </c>
      <c r="B181" s="17">
        <v>87</v>
      </c>
      <c r="C181" s="17">
        <v>351</v>
      </c>
      <c r="D181" s="17">
        <v>306</v>
      </c>
      <c r="E181" s="17" t="s">
        <v>920</v>
      </c>
      <c r="F181" s="27" t="s">
        <v>921</v>
      </c>
      <c r="G181" s="17">
        <v>63</v>
      </c>
      <c r="H181" s="17" t="s">
        <v>45</v>
      </c>
      <c r="I181" s="17" t="s">
        <v>922</v>
      </c>
      <c r="J181" s="17">
        <v>7310630</v>
      </c>
      <c r="K181" s="17">
        <v>7</v>
      </c>
      <c r="L181" s="17" t="s">
        <v>494</v>
      </c>
      <c r="M181" s="17">
        <v>3</v>
      </c>
      <c r="N181" s="17">
        <v>7</v>
      </c>
      <c r="O181" s="17" t="s">
        <v>116</v>
      </c>
      <c r="P181" s="17" t="s">
        <v>38</v>
      </c>
      <c r="Q181" s="17"/>
      <c r="R181" s="22">
        <v>1565000</v>
      </c>
      <c r="S181" s="22">
        <f>R181</f>
        <v>1565000</v>
      </c>
      <c r="T181" s="22">
        <v>5</v>
      </c>
      <c r="U181" s="22">
        <f t="shared" si="3"/>
        <v>7825000</v>
      </c>
      <c r="V181" s="17" t="s">
        <v>923</v>
      </c>
      <c r="W181" s="17" t="s">
        <v>924</v>
      </c>
      <c r="X181" s="30" t="s">
        <v>925</v>
      </c>
      <c r="Y181" s="17" t="s">
        <v>42</v>
      </c>
    </row>
    <row r="182" spans="1:25" ht="29.25" customHeight="1" x14ac:dyDescent="0.25">
      <c r="A182" s="17">
        <v>174</v>
      </c>
      <c r="B182" s="17">
        <v>1</v>
      </c>
      <c r="C182" s="17">
        <v>624</v>
      </c>
      <c r="D182" s="17">
        <v>572</v>
      </c>
      <c r="E182" s="52" t="s">
        <v>926</v>
      </c>
      <c r="F182" s="27" t="s">
        <v>927</v>
      </c>
      <c r="G182" s="17">
        <v>65</v>
      </c>
      <c r="H182" s="17" t="s">
        <v>928</v>
      </c>
      <c r="I182" s="17" t="s">
        <v>929</v>
      </c>
      <c r="J182" s="17">
        <v>7510302</v>
      </c>
      <c r="K182" s="17">
        <v>5</v>
      </c>
      <c r="L182" s="17" t="s">
        <v>930</v>
      </c>
      <c r="M182" s="17">
        <v>4</v>
      </c>
      <c r="N182" s="17">
        <v>5</v>
      </c>
      <c r="O182" s="17" t="s">
        <v>75</v>
      </c>
      <c r="P182" s="17" t="s">
        <v>76</v>
      </c>
      <c r="Q182" s="17" t="s">
        <v>69</v>
      </c>
      <c r="R182" s="22">
        <v>1840000</v>
      </c>
      <c r="S182" s="22">
        <f>R182*70%</f>
        <v>1288000</v>
      </c>
      <c r="T182" s="22">
        <v>5</v>
      </c>
      <c r="U182" s="22">
        <f t="shared" si="3"/>
        <v>6440000</v>
      </c>
      <c r="V182" s="17">
        <v>40097018180</v>
      </c>
      <c r="W182" s="17">
        <v>941126758</v>
      </c>
      <c r="X182" s="17">
        <v>1026775924</v>
      </c>
      <c r="Y182" s="17" t="s">
        <v>310</v>
      </c>
    </row>
    <row r="183" spans="1:25" ht="29.25" customHeight="1" x14ac:dyDescent="0.25">
      <c r="A183" s="17">
        <v>175</v>
      </c>
      <c r="B183" s="17">
        <v>2</v>
      </c>
      <c r="C183" s="17">
        <v>390</v>
      </c>
      <c r="D183" s="17">
        <v>340</v>
      </c>
      <c r="E183" s="17" t="s">
        <v>931</v>
      </c>
      <c r="F183" s="27" t="s">
        <v>932</v>
      </c>
      <c r="G183" s="17">
        <v>63</v>
      </c>
      <c r="H183" s="17" t="s">
        <v>933</v>
      </c>
      <c r="I183" s="17" t="s">
        <v>934</v>
      </c>
      <c r="J183" s="17">
        <v>7510301</v>
      </c>
      <c r="K183" s="17">
        <v>5</v>
      </c>
      <c r="L183" s="17" t="s">
        <v>930</v>
      </c>
      <c r="M183" s="17">
        <v>4</v>
      </c>
      <c r="N183" s="17">
        <v>5</v>
      </c>
      <c r="O183" s="17" t="s">
        <v>116</v>
      </c>
      <c r="P183" s="17" t="s">
        <v>38</v>
      </c>
      <c r="Q183" s="17"/>
      <c r="R183" s="22">
        <v>1840000</v>
      </c>
      <c r="S183" s="22">
        <f>R183</f>
        <v>1840000</v>
      </c>
      <c r="T183" s="22">
        <v>5</v>
      </c>
      <c r="U183" s="22">
        <f t="shared" si="3"/>
        <v>9200000</v>
      </c>
      <c r="V183" s="30" t="s">
        <v>935</v>
      </c>
      <c r="W183" s="17" t="s">
        <v>936</v>
      </c>
      <c r="X183" s="17" t="s">
        <v>937</v>
      </c>
      <c r="Y183" s="17" t="s">
        <v>52</v>
      </c>
    </row>
    <row r="184" spans="1:25" ht="29.25" customHeight="1" x14ac:dyDescent="0.25">
      <c r="A184" s="17">
        <v>176</v>
      </c>
      <c r="B184" s="17">
        <v>3</v>
      </c>
      <c r="C184" s="17">
        <v>391</v>
      </c>
      <c r="D184" s="17">
        <v>341</v>
      </c>
      <c r="E184" s="17" t="s">
        <v>938</v>
      </c>
      <c r="F184" s="27" t="s">
        <v>939</v>
      </c>
      <c r="G184" s="17">
        <v>63</v>
      </c>
      <c r="H184" s="17" t="s">
        <v>933</v>
      </c>
      <c r="I184" s="17" t="s">
        <v>934</v>
      </c>
      <c r="J184" s="17">
        <v>7510301</v>
      </c>
      <c r="K184" s="17">
        <v>5</v>
      </c>
      <c r="L184" s="17" t="s">
        <v>930</v>
      </c>
      <c r="M184" s="17">
        <v>4</v>
      </c>
      <c r="N184" s="17">
        <v>5</v>
      </c>
      <c r="O184" s="17" t="s">
        <v>116</v>
      </c>
      <c r="P184" s="17" t="s">
        <v>38</v>
      </c>
      <c r="Q184" s="17"/>
      <c r="R184" s="22">
        <v>1840000</v>
      </c>
      <c r="S184" s="22">
        <f>R184</f>
        <v>1840000</v>
      </c>
      <c r="T184" s="22">
        <v>5</v>
      </c>
      <c r="U184" s="22">
        <f t="shared" si="3"/>
        <v>9200000</v>
      </c>
      <c r="V184" s="17" t="s">
        <v>940</v>
      </c>
      <c r="W184" s="17" t="s">
        <v>941</v>
      </c>
      <c r="X184" s="17" t="s">
        <v>942</v>
      </c>
      <c r="Y184" s="17" t="s">
        <v>52</v>
      </c>
    </row>
    <row r="185" spans="1:25" ht="29.25" customHeight="1" x14ac:dyDescent="0.25">
      <c r="A185" s="17">
        <v>177</v>
      </c>
      <c r="B185" s="17">
        <v>4</v>
      </c>
      <c r="C185" s="17">
        <v>392</v>
      </c>
      <c r="D185" s="17">
        <v>342</v>
      </c>
      <c r="E185" s="17" t="s">
        <v>943</v>
      </c>
      <c r="F185" s="27" t="s">
        <v>944</v>
      </c>
      <c r="G185" s="17">
        <v>63</v>
      </c>
      <c r="H185" s="17" t="s">
        <v>933</v>
      </c>
      <c r="I185" s="17" t="s">
        <v>934</v>
      </c>
      <c r="J185" s="17">
        <v>7510301</v>
      </c>
      <c r="K185" s="17">
        <v>5</v>
      </c>
      <c r="L185" s="17" t="s">
        <v>930</v>
      </c>
      <c r="M185" s="17">
        <v>4</v>
      </c>
      <c r="N185" s="17">
        <v>5</v>
      </c>
      <c r="O185" s="17" t="s">
        <v>62</v>
      </c>
      <c r="P185" s="17" t="s">
        <v>38</v>
      </c>
      <c r="Q185" s="17" t="s">
        <v>69</v>
      </c>
      <c r="R185" s="22">
        <v>1840000</v>
      </c>
      <c r="S185" s="22">
        <f>R185</f>
        <v>1840000</v>
      </c>
      <c r="T185" s="22">
        <v>5</v>
      </c>
      <c r="U185" s="22">
        <f t="shared" si="3"/>
        <v>9200000</v>
      </c>
      <c r="V185" s="17" t="s">
        <v>945</v>
      </c>
      <c r="W185" s="17" t="s">
        <v>946</v>
      </c>
      <c r="X185" s="53" t="s">
        <v>947</v>
      </c>
      <c r="Y185" s="54" t="s">
        <v>42</v>
      </c>
    </row>
    <row r="186" spans="1:25" ht="29.25" customHeight="1" x14ac:dyDescent="0.25">
      <c r="A186" s="17">
        <v>178</v>
      </c>
      <c r="B186" s="17">
        <v>5</v>
      </c>
      <c r="C186" s="17">
        <v>692</v>
      </c>
      <c r="D186" s="17">
        <v>640</v>
      </c>
      <c r="E186" s="43" t="s">
        <v>948</v>
      </c>
      <c r="F186" s="39" t="s">
        <v>949</v>
      </c>
      <c r="G186" s="20">
        <v>66</v>
      </c>
      <c r="H186" s="17" t="s">
        <v>950</v>
      </c>
      <c r="I186" s="20" t="s">
        <v>951</v>
      </c>
      <c r="J186" s="20">
        <v>7510303</v>
      </c>
      <c r="K186" s="20">
        <v>5</v>
      </c>
      <c r="L186" s="20" t="s">
        <v>930</v>
      </c>
      <c r="M186" s="20">
        <v>4</v>
      </c>
      <c r="N186" s="20">
        <v>5</v>
      </c>
      <c r="O186" s="20" t="s">
        <v>62</v>
      </c>
      <c r="P186" s="20" t="s">
        <v>38</v>
      </c>
      <c r="Q186" s="20" t="s">
        <v>69</v>
      </c>
      <c r="R186" s="22">
        <v>1840000</v>
      </c>
      <c r="S186" s="22">
        <f>R186</f>
        <v>1840000</v>
      </c>
      <c r="T186" s="22">
        <v>5</v>
      </c>
      <c r="U186" s="22">
        <f t="shared" si="3"/>
        <v>9200000</v>
      </c>
      <c r="V186" s="23" t="s">
        <v>952</v>
      </c>
      <c r="W186" s="23" t="s">
        <v>953</v>
      </c>
      <c r="X186" s="44">
        <v>8813806004</v>
      </c>
      <c r="Y186" s="20" t="s">
        <v>42</v>
      </c>
    </row>
    <row r="187" spans="1:25" ht="29.25" customHeight="1" x14ac:dyDescent="0.25">
      <c r="A187" s="17">
        <v>179</v>
      </c>
      <c r="B187" s="17">
        <v>6</v>
      </c>
      <c r="C187" s="17">
        <v>693</v>
      </c>
      <c r="D187" s="17">
        <v>641</v>
      </c>
      <c r="E187" s="43" t="s">
        <v>954</v>
      </c>
      <c r="F187" s="39" t="s">
        <v>955</v>
      </c>
      <c r="G187" s="20">
        <v>66</v>
      </c>
      <c r="H187" s="17" t="s">
        <v>956</v>
      </c>
      <c r="I187" s="20" t="s">
        <v>951</v>
      </c>
      <c r="J187" s="20">
        <v>7510303</v>
      </c>
      <c r="K187" s="20">
        <v>5</v>
      </c>
      <c r="L187" s="20" t="s">
        <v>930</v>
      </c>
      <c r="M187" s="20">
        <v>4</v>
      </c>
      <c r="N187" s="20">
        <v>5</v>
      </c>
      <c r="O187" s="20" t="s">
        <v>37</v>
      </c>
      <c r="P187" s="20" t="s">
        <v>38</v>
      </c>
      <c r="Q187" s="20" t="s">
        <v>957</v>
      </c>
      <c r="R187" s="22">
        <v>1840000</v>
      </c>
      <c r="S187" s="22">
        <f>R187</f>
        <v>1840000</v>
      </c>
      <c r="T187" s="22">
        <v>5</v>
      </c>
      <c r="U187" s="22">
        <f t="shared" si="3"/>
        <v>9200000</v>
      </c>
      <c r="V187" s="23" t="s">
        <v>958</v>
      </c>
      <c r="W187" s="23" t="s">
        <v>959</v>
      </c>
      <c r="X187" s="43" t="s">
        <v>959</v>
      </c>
      <c r="Y187" s="17" t="s">
        <v>102</v>
      </c>
    </row>
    <row r="188" spans="1:25" ht="29.25" customHeight="1" x14ac:dyDescent="0.25">
      <c r="A188" s="17">
        <v>180</v>
      </c>
      <c r="B188" s="17">
        <v>7</v>
      </c>
      <c r="C188" s="17">
        <v>694</v>
      </c>
      <c r="D188" s="17">
        <v>642</v>
      </c>
      <c r="E188" s="43" t="s">
        <v>960</v>
      </c>
      <c r="F188" s="19" t="s">
        <v>961</v>
      </c>
      <c r="G188" s="20">
        <v>66</v>
      </c>
      <c r="H188" s="17" t="s">
        <v>956</v>
      </c>
      <c r="I188" s="20" t="s">
        <v>951</v>
      </c>
      <c r="J188" s="20">
        <v>7510303</v>
      </c>
      <c r="K188" s="20">
        <v>5</v>
      </c>
      <c r="L188" s="20" t="s">
        <v>930</v>
      </c>
      <c r="M188" s="20">
        <v>4</v>
      </c>
      <c r="N188" s="20">
        <v>5</v>
      </c>
      <c r="O188" s="20" t="s">
        <v>75</v>
      </c>
      <c r="P188" s="20" t="s">
        <v>76</v>
      </c>
      <c r="Q188" s="20" t="s">
        <v>69</v>
      </c>
      <c r="R188" s="22">
        <v>1840000</v>
      </c>
      <c r="S188" s="22">
        <f>R188*70%</f>
        <v>1288000</v>
      </c>
      <c r="T188" s="22">
        <v>5</v>
      </c>
      <c r="U188" s="22">
        <f t="shared" si="3"/>
        <v>6440000</v>
      </c>
      <c r="V188" s="23" t="s">
        <v>962</v>
      </c>
      <c r="W188" s="23" t="s">
        <v>963</v>
      </c>
      <c r="X188" s="44">
        <v>8851140113</v>
      </c>
      <c r="Y188" s="20" t="s">
        <v>964</v>
      </c>
    </row>
    <row r="189" spans="1:25" ht="29.25" customHeight="1" x14ac:dyDescent="0.25">
      <c r="A189" s="17">
        <v>181</v>
      </c>
      <c r="B189" s="17">
        <v>8</v>
      </c>
      <c r="C189" s="17">
        <v>756</v>
      </c>
      <c r="D189" s="17">
        <v>704</v>
      </c>
      <c r="E189" s="43" t="s">
        <v>965</v>
      </c>
      <c r="F189" s="19" t="s">
        <v>966</v>
      </c>
      <c r="G189" s="20">
        <v>66</v>
      </c>
      <c r="H189" s="17" t="s">
        <v>956</v>
      </c>
      <c r="I189" s="20" t="s">
        <v>951</v>
      </c>
      <c r="J189" s="20">
        <v>7510303</v>
      </c>
      <c r="K189" s="20">
        <v>5</v>
      </c>
      <c r="L189" s="20" t="s">
        <v>930</v>
      </c>
      <c r="M189" s="20">
        <v>4</v>
      </c>
      <c r="N189" s="20">
        <v>5</v>
      </c>
      <c r="O189" s="20" t="s">
        <v>75</v>
      </c>
      <c r="P189" s="20" t="s">
        <v>76</v>
      </c>
      <c r="Q189" s="20" t="s">
        <v>189</v>
      </c>
      <c r="R189" s="22">
        <v>1840000</v>
      </c>
      <c r="S189" s="22">
        <f>R189*70%</f>
        <v>1288000</v>
      </c>
      <c r="T189" s="22">
        <v>5</v>
      </c>
      <c r="U189" s="22">
        <f t="shared" si="3"/>
        <v>6440000</v>
      </c>
      <c r="V189" s="23" t="s">
        <v>967</v>
      </c>
      <c r="W189" s="23" t="s">
        <v>968</v>
      </c>
      <c r="X189" s="44">
        <v>8893806018</v>
      </c>
      <c r="Y189" s="20" t="s">
        <v>42</v>
      </c>
    </row>
    <row r="190" spans="1:25" ht="29.25" customHeight="1" x14ac:dyDescent="0.25">
      <c r="A190" s="17">
        <v>182</v>
      </c>
      <c r="B190" s="17">
        <v>9</v>
      </c>
      <c r="C190" s="38">
        <v>671</v>
      </c>
      <c r="D190" s="38">
        <v>619</v>
      </c>
      <c r="E190" s="32" t="s">
        <v>969</v>
      </c>
      <c r="F190" s="39" t="s">
        <v>970</v>
      </c>
      <c r="G190" s="38">
        <v>62</v>
      </c>
      <c r="H190" s="38" t="s">
        <v>971</v>
      </c>
      <c r="I190" s="17" t="s">
        <v>972</v>
      </c>
      <c r="J190" s="17">
        <v>7510205</v>
      </c>
      <c r="K190" s="17">
        <v>5</v>
      </c>
      <c r="L190" s="17" t="s">
        <v>930</v>
      </c>
      <c r="M190" s="38">
        <v>4</v>
      </c>
      <c r="N190" s="17">
        <v>5</v>
      </c>
      <c r="O190" s="17" t="s">
        <v>116</v>
      </c>
      <c r="P190" s="17" t="s">
        <v>38</v>
      </c>
      <c r="Q190" s="17"/>
      <c r="R190" s="22">
        <v>1840000</v>
      </c>
      <c r="S190" s="22">
        <f>R190</f>
        <v>1840000</v>
      </c>
      <c r="T190" s="22">
        <v>5</v>
      </c>
      <c r="U190" s="22">
        <f t="shared" si="3"/>
        <v>9200000</v>
      </c>
      <c r="V190" s="49" t="s">
        <v>973</v>
      </c>
      <c r="W190" s="49" t="s">
        <v>974</v>
      </c>
      <c r="X190" s="17" t="s">
        <v>975</v>
      </c>
      <c r="Y190" s="17" t="s">
        <v>52</v>
      </c>
    </row>
    <row r="191" spans="1:25" ht="29.25" customHeight="1" x14ac:dyDescent="0.25">
      <c r="A191" s="17">
        <v>183</v>
      </c>
      <c r="B191" s="17">
        <v>10</v>
      </c>
      <c r="C191" s="17">
        <v>398</v>
      </c>
      <c r="D191" s="17">
        <v>348</v>
      </c>
      <c r="E191" s="17" t="s">
        <v>976</v>
      </c>
      <c r="F191" s="27" t="s">
        <v>977</v>
      </c>
      <c r="G191" s="17">
        <v>63</v>
      </c>
      <c r="H191" s="17" t="s">
        <v>933</v>
      </c>
      <c r="I191" s="17" t="s">
        <v>972</v>
      </c>
      <c r="J191" s="17">
        <v>7510205</v>
      </c>
      <c r="K191" s="17">
        <v>5</v>
      </c>
      <c r="L191" s="17" t="s">
        <v>930</v>
      </c>
      <c r="M191" s="17">
        <v>4</v>
      </c>
      <c r="N191" s="17">
        <v>5</v>
      </c>
      <c r="O191" s="17" t="s">
        <v>116</v>
      </c>
      <c r="P191" s="17" t="s">
        <v>38</v>
      </c>
      <c r="Q191" s="17"/>
      <c r="R191" s="22">
        <v>1840000</v>
      </c>
      <c r="S191" s="22">
        <f>R191</f>
        <v>1840000</v>
      </c>
      <c r="T191" s="22">
        <v>5</v>
      </c>
      <c r="U191" s="22">
        <f t="shared" si="3"/>
        <v>9200000</v>
      </c>
      <c r="V191" s="17" t="s">
        <v>978</v>
      </c>
      <c r="W191" s="17" t="s">
        <v>979</v>
      </c>
      <c r="X191" s="17" t="s">
        <v>980</v>
      </c>
      <c r="Y191" s="17" t="s">
        <v>52</v>
      </c>
    </row>
    <row r="192" spans="1:25" ht="29.25" customHeight="1" x14ac:dyDescent="0.25">
      <c r="A192" s="17">
        <v>184</v>
      </c>
      <c r="B192" s="17">
        <v>11</v>
      </c>
      <c r="C192" s="17">
        <v>399</v>
      </c>
      <c r="D192" s="17">
        <v>349</v>
      </c>
      <c r="E192" s="17" t="s">
        <v>981</v>
      </c>
      <c r="F192" s="27" t="s">
        <v>982</v>
      </c>
      <c r="G192" s="17">
        <v>63</v>
      </c>
      <c r="H192" s="17" t="s">
        <v>933</v>
      </c>
      <c r="I192" s="17" t="s">
        <v>972</v>
      </c>
      <c r="J192" s="17">
        <v>7510205</v>
      </c>
      <c r="K192" s="17">
        <v>5</v>
      </c>
      <c r="L192" s="17" t="s">
        <v>930</v>
      </c>
      <c r="M192" s="17">
        <v>4</v>
      </c>
      <c r="N192" s="17">
        <v>5</v>
      </c>
      <c r="O192" s="17" t="s">
        <v>75</v>
      </c>
      <c r="P192" s="17" t="s">
        <v>76</v>
      </c>
      <c r="Q192" s="17" t="s">
        <v>543</v>
      </c>
      <c r="R192" s="22">
        <v>1840000</v>
      </c>
      <c r="S192" s="22">
        <f>R192*70%</f>
        <v>1288000</v>
      </c>
      <c r="T192" s="22">
        <v>5</v>
      </c>
      <c r="U192" s="22">
        <f t="shared" si="3"/>
        <v>6440000</v>
      </c>
      <c r="V192" s="17" t="s">
        <v>983</v>
      </c>
      <c r="W192" s="28" t="s">
        <v>984</v>
      </c>
      <c r="X192" s="17" t="s">
        <v>985</v>
      </c>
      <c r="Y192" s="17" t="s">
        <v>52</v>
      </c>
    </row>
    <row r="193" spans="1:25" ht="29.25" customHeight="1" x14ac:dyDescent="0.25">
      <c r="A193" s="17">
        <v>185</v>
      </c>
      <c r="B193" s="17">
        <v>12</v>
      </c>
      <c r="C193" s="17">
        <v>509</v>
      </c>
      <c r="D193" s="17">
        <v>457</v>
      </c>
      <c r="E193" s="30" t="s">
        <v>986</v>
      </c>
      <c r="F193" s="27" t="s">
        <v>987</v>
      </c>
      <c r="G193" s="17">
        <v>64</v>
      </c>
      <c r="H193" s="17" t="s">
        <v>988</v>
      </c>
      <c r="I193" s="17" t="s">
        <v>972</v>
      </c>
      <c r="J193" s="17">
        <v>7510205</v>
      </c>
      <c r="K193" s="17">
        <v>5</v>
      </c>
      <c r="L193" s="17" t="s">
        <v>930</v>
      </c>
      <c r="M193" s="17">
        <v>4</v>
      </c>
      <c r="N193" s="17">
        <v>5</v>
      </c>
      <c r="O193" s="17" t="s">
        <v>892</v>
      </c>
      <c r="P193" s="17" t="s">
        <v>38</v>
      </c>
      <c r="Q193" s="17"/>
      <c r="R193" s="22">
        <v>1840000</v>
      </c>
      <c r="S193" s="22">
        <f>R193</f>
        <v>1840000</v>
      </c>
      <c r="T193" s="22">
        <v>5</v>
      </c>
      <c r="U193" s="22">
        <f t="shared" si="3"/>
        <v>9200000</v>
      </c>
      <c r="V193" s="30" t="s">
        <v>989</v>
      </c>
      <c r="W193" s="28" t="s">
        <v>990</v>
      </c>
      <c r="X193" s="28" t="s">
        <v>990</v>
      </c>
      <c r="Y193" s="17" t="s">
        <v>102</v>
      </c>
    </row>
    <row r="194" spans="1:25" ht="29.25" customHeight="1" x14ac:dyDescent="0.25">
      <c r="A194" s="17">
        <v>186</v>
      </c>
      <c r="B194" s="17">
        <v>13</v>
      </c>
      <c r="C194" s="17">
        <v>510</v>
      </c>
      <c r="D194" s="17">
        <v>458</v>
      </c>
      <c r="E194" s="30" t="s">
        <v>991</v>
      </c>
      <c r="F194" s="27" t="s">
        <v>992</v>
      </c>
      <c r="G194" s="17">
        <v>64</v>
      </c>
      <c r="H194" s="17" t="s">
        <v>988</v>
      </c>
      <c r="I194" s="17" t="s">
        <v>972</v>
      </c>
      <c r="J194" s="17">
        <v>7510205</v>
      </c>
      <c r="K194" s="17">
        <v>5</v>
      </c>
      <c r="L194" s="17" t="s">
        <v>930</v>
      </c>
      <c r="M194" s="17">
        <v>4</v>
      </c>
      <c r="N194" s="17">
        <v>5</v>
      </c>
      <c r="O194" s="17" t="s">
        <v>47</v>
      </c>
      <c r="P194" s="17" t="s">
        <v>48</v>
      </c>
      <c r="Q194" s="17"/>
      <c r="R194" s="22">
        <v>1840000</v>
      </c>
      <c r="S194" s="22">
        <f>50%*R194</f>
        <v>920000</v>
      </c>
      <c r="T194" s="22">
        <v>5</v>
      </c>
      <c r="U194" s="22">
        <f t="shared" si="3"/>
        <v>4600000</v>
      </c>
      <c r="V194" s="30" t="s">
        <v>993</v>
      </c>
      <c r="W194" s="28" t="s">
        <v>994</v>
      </c>
      <c r="X194" s="17" t="s">
        <v>995</v>
      </c>
      <c r="Y194" s="17" t="s">
        <v>42</v>
      </c>
    </row>
    <row r="195" spans="1:25" ht="29.25" customHeight="1" x14ac:dyDescent="0.25">
      <c r="A195" s="17">
        <v>187</v>
      </c>
      <c r="B195" s="17">
        <v>14</v>
      </c>
      <c r="C195" s="17">
        <v>558</v>
      </c>
      <c r="D195" s="17">
        <v>506</v>
      </c>
      <c r="E195" s="30" t="s">
        <v>996</v>
      </c>
      <c r="F195" s="27" t="s">
        <v>997</v>
      </c>
      <c r="G195" s="17">
        <v>64</v>
      </c>
      <c r="H195" s="17" t="s">
        <v>988</v>
      </c>
      <c r="I195" s="17" t="s">
        <v>972</v>
      </c>
      <c r="J195" s="17">
        <v>7510205</v>
      </c>
      <c r="K195" s="17">
        <v>5</v>
      </c>
      <c r="L195" s="17" t="s">
        <v>930</v>
      </c>
      <c r="M195" s="17">
        <v>4</v>
      </c>
      <c r="N195" s="17">
        <v>5</v>
      </c>
      <c r="O195" s="17" t="s">
        <v>998</v>
      </c>
      <c r="P195" s="17" t="s">
        <v>38</v>
      </c>
      <c r="Q195" s="17"/>
      <c r="R195" s="22">
        <v>1840000</v>
      </c>
      <c r="S195" s="22">
        <f>R195</f>
        <v>1840000</v>
      </c>
      <c r="T195" s="22">
        <v>5</v>
      </c>
      <c r="U195" s="22">
        <f t="shared" si="3"/>
        <v>9200000</v>
      </c>
      <c r="V195" s="30" t="s">
        <v>999</v>
      </c>
      <c r="W195" s="30" t="s">
        <v>1000</v>
      </c>
      <c r="X195" s="30" t="s">
        <v>1000</v>
      </c>
      <c r="Y195" s="17" t="s">
        <v>52</v>
      </c>
    </row>
    <row r="196" spans="1:25" ht="29.25" customHeight="1" x14ac:dyDescent="0.25">
      <c r="A196" s="17">
        <v>188</v>
      </c>
      <c r="B196" s="17">
        <v>15</v>
      </c>
      <c r="C196" s="17">
        <v>625</v>
      </c>
      <c r="D196" s="17">
        <v>573</v>
      </c>
      <c r="E196" s="52" t="s">
        <v>1001</v>
      </c>
      <c r="F196" s="27" t="s">
        <v>1002</v>
      </c>
      <c r="G196" s="17">
        <v>65</v>
      </c>
      <c r="H196" s="17" t="s">
        <v>928</v>
      </c>
      <c r="I196" s="17" t="s">
        <v>972</v>
      </c>
      <c r="J196" s="17">
        <v>7510205</v>
      </c>
      <c r="K196" s="17">
        <v>5</v>
      </c>
      <c r="L196" s="17" t="s">
        <v>930</v>
      </c>
      <c r="M196" s="17">
        <v>4</v>
      </c>
      <c r="N196" s="17">
        <v>5</v>
      </c>
      <c r="O196" s="17" t="s">
        <v>62</v>
      </c>
      <c r="P196" s="17" t="s">
        <v>38</v>
      </c>
      <c r="Q196" s="17" t="s">
        <v>543</v>
      </c>
      <c r="R196" s="22">
        <v>1840000</v>
      </c>
      <c r="S196" s="22">
        <f>R196</f>
        <v>1840000</v>
      </c>
      <c r="T196" s="22">
        <v>5</v>
      </c>
      <c r="U196" s="22">
        <f t="shared" si="3"/>
        <v>9200000</v>
      </c>
      <c r="V196" s="17">
        <v>40206015954</v>
      </c>
      <c r="W196" s="17">
        <v>944829536</v>
      </c>
      <c r="X196" s="30" t="s">
        <v>1003</v>
      </c>
      <c r="Y196" s="17" t="s">
        <v>102</v>
      </c>
    </row>
    <row r="197" spans="1:25" ht="29.25" customHeight="1" x14ac:dyDescent="0.25">
      <c r="A197" s="17">
        <v>189</v>
      </c>
      <c r="B197" s="17">
        <v>16</v>
      </c>
      <c r="C197" s="17">
        <v>626</v>
      </c>
      <c r="D197" s="17">
        <v>574</v>
      </c>
      <c r="E197" s="52" t="s">
        <v>1004</v>
      </c>
      <c r="F197" s="27" t="s">
        <v>1005</v>
      </c>
      <c r="G197" s="17">
        <v>65</v>
      </c>
      <c r="H197" s="17" t="s">
        <v>1006</v>
      </c>
      <c r="I197" s="17" t="s">
        <v>972</v>
      </c>
      <c r="J197" s="17">
        <v>7510205</v>
      </c>
      <c r="K197" s="17">
        <v>5</v>
      </c>
      <c r="L197" s="17" t="s">
        <v>930</v>
      </c>
      <c r="M197" s="17">
        <v>4</v>
      </c>
      <c r="N197" s="17">
        <v>5</v>
      </c>
      <c r="O197" s="17" t="s">
        <v>75</v>
      </c>
      <c r="P197" s="17" t="s">
        <v>76</v>
      </c>
      <c r="Q197" s="17" t="s">
        <v>69</v>
      </c>
      <c r="R197" s="22">
        <v>1840000</v>
      </c>
      <c r="S197" s="22">
        <f>R197*70%</f>
        <v>1288000</v>
      </c>
      <c r="T197" s="22">
        <v>5</v>
      </c>
      <c r="U197" s="22">
        <f t="shared" si="3"/>
        <v>6440000</v>
      </c>
      <c r="V197" s="17">
        <v>40205024960</v>
      </c>
      <c r="W197" s="17">
        <v>819444382</v>
      </c>
      <c r="X197" s="30" t="s">
        <v>1007</v>
      </c>
      <c r="Y197" s="17" t="s">
        <v>310</v>
      </c>
    </row>
    <row r="198" spans="1:25" ht="29.25" customHeight="1" x14ac:dyDescent="0.25">
      <c r="A198" s="17">
        <v>190</v>
      </c>
      <c r="B198" s="17">
        <v>17</v>
      </c>
      <c r="C198" s="17">
        <v>697</v>
      </c>
      <c r="D198" s="17">
        <v>645</v>
      </c>
      <c r="E198" s="43" t="s">
        <v>1008</v>
      </c>
      <c r="F198" s="19" t="s">
        <v>1009</v>
      </c>
      <c r="G198" s="20">
        <v>66</v>
      </c>
      <c r="H198" s="17" t="s">
        <v>950</v>
      </c>
      <c r="I198" s="20" t="s">
        <v>972</v>
      </c>
      <c r="J198" s="20">
        <v>7510205</v>
      </c>
      <c r="K198" s="20">
        <v>5</v>
      </c>
      <c r="L198" s="20" t="s">
        <v>930</v>
      </c>
      <c r="M198" s="20">
        <v>4</v>
      </c>
      <c r="N198" s="20">
        <v>5</v>
      </c>
      <c r="O198" s="17" t="s">
        <v>116</v>
      </c>
      <c r="P198" s="20" t="s">
        <v>38</v>
      </c>
      <c r="Q198" s="20" t="s">
        <v>957</v>
      </c>
      <c r="R198" s="22">
        <v>1840000</v>
      </c>
      <c r="S198" s="22">
        <f t="shared" ref="S198:S208" si="5">R198</f>
        <v>1840000</v>
      </c>
      <c r="T198" s="22">
        <v>5</v>
      </c>
      <c r="U198" s="22">
        <f t="shared" si="3"/>
        <v>9200000</v>
      </c>
      <c r="V198" s="23" t="s">
        <v>1010</v>
      </c>
      <c r="W198" s="23" t="s">
        <v>1011</v>
      </c>
      <c r="X198" s="44">
        <v>90408260607999</v>
      </c>
      <c r="Y198" s="17" t="s">
        <v>102</v>
      </c>
    </row>
    <row r="199" spans="1:25" ht="29.25" customHeight="1" x14ac:dyDescent="0.25">
      <c r="A199" s="17">
        <v>191</v>
      </c>
      <c r="B199" s="17">
        <v>18</v>
      </c>
      <c r="C199" s="17">
        <v>698</v>
      </c>
      <c r="D199" s="17">
        <v>646</v>
      </c>
      <c r="E199" s="43" t="s">
        <v>1012</v>
      </c>
      <c r="F199" s="19" t="s">
        <v>1013</v>
      </c>
      <c r="G199" s="20">
        <v>66</v>
      </c>
      <c r="H199" s="17" t="s">
        <v>950</v>
      </c>
      <c r="I199" s="20" t="s">
        <v>972</v>
      </c>
      <c r="J199" s="20">
        <v>7510205</v>
      </c>
      <c r="K199" s="20">
        <v>5</v>
      </c>
      <c r="L199" s="20" t="s">
        <v>930</v>
      </c>
      <c r="M199" s="20">
        <v>4</v>
      </c>
      <c r="N199" s="20">
        <v>5</v>
      </c>
      <c r="O199" s="20" t="s">
        <v>62</v>
      </c>
      <c r="P199" s="20" t="s">
        <v>38</v>
      </c>
      <c r="Q199" s="20" t="s">
        <v>69</v>
      </c>
      <c r="R199" s="22">
        <v>1840000</v>
      </c>
      <c r="S199" s="22">
        <f t="shared" si="5"/>
        <v>1840000</v>
      </c>
      <c r="T199" s="22">
        <v>5</v>
      </c>
      <c r="U199" s="22">
        <f t="shared" si="3"/>
        <v>9200000</v>
      </c>
      <c r="V199" s="23" t="s">
        <v>1014</v>
      </c>
      <c r="W199" s="23" t="s">
        <v>1015</v>
      </c>
      <c r="X199" s="44">
        <v>21745921</v>
      </c>
      <c r="Y199" s="20" t="s">
        <v>1016</v>
      </c>
    </row>
    <row r="200" spans="1:25" ht="29.25" customHeight="1" x14ac:dyDescent="0.25">
      <c r="A200" s="17">
        <v>192</v>
      </c>
      <c r="B200" s="17">
        <v>19</v>
      </c>
      <c r="C200" s="17">
        <v>699</v>
      </c>
      <c r="D200" s="17">
        <v>647</v>
      </c>
      <c r="E200" s="43" t="s">
        <v>1017</v>
      </c>
      <c r="F200" s="39" t="s">
        <v>1018</v>
      </c>
      <c r="G200" s="20">
        <v>66</v>
      </c>
      <c r="H200" s="17" t="s">
        <v>956</v>
      </c>
      <c r="I200" s="20" t="s">
        <v>972</v>
      </c>
      <c r="J200" s="20">
        <v>7510205</v>
      </c>
      <c r="K200" s="20">
        <v>5</v>
      </c>
      <c r="L200" s="20" t="s">
        <v>930</v>
      </c>
      <c r="M200" s="20">
        <v>4</v>
      </c>
      <c r="N200" s="20">
        <v>5</v>
      </c>
      <c r="O200" s="20" t="s">
        <v>62</v>
      </c>
      <c r="P200" s="20" t="s">
        <v>38</v>
      </c>
      <c r="Q200" s="20" t="s">
        <v>655</v>
      </c>
      <c r="R200" s="22">
        <v>1840000</v>
      </c>
      <c r="S200" s="22">
        <f t="shared" si="5"/>
        <v>1840000</v>
      </c>
      <c r="T200" s="22">
        <v>5</v>
      </c>
      <c r="U200" s="22">
        <f t="shared" si="3"/>
        <v>9200000</v>
      </c>
      <c r="V200" s="23" t="s">
        <v>1019</v>
      </c>
      <c r="W200" s="23" t="s">
        <v>1020</v>
      </c>
      <c r="X200" s="44">
        <v>1059340397</v>
      </c>
      <c r="Y200" s="17" t="s">
        <v>310</v>
      </c>
    </row>
    <row r="201" spans="1:25" ht="29.25" customHeight="1" x14ac:dyDescent="0.25">
      <c r="A201" s="17">
        <v>193</v>
      </c>
      <c r="B201" s="17">
        <v>20</v>
      </c>
      <c r="C201" s="17">
        <v>700</v>
      </c>
      <c r="D201" s="17">
        <v>648</v>
      </c>
      <c r="E201" s="43" t="s">
        <v>1021</v>
      </c>
      <c r="F201" s="19" t="s">
        <v>1022</v>
      </c>
      <c r="G201" s="20">
        <v>66</v>
      </c>
      <c r="H201" s="17" t="s">
        <v>956</v>
      </c>
      <c r="I201" s="20" t="s">
        <v>972</v>
      </c>
      <c r="J201" s="20">
        <v>7510205</v>
      </c>
      <c r="K201" s="20">
        <v>5</v>
      </c>
      <c r="L201" s="20" t="s">
        <v>930</v>
      </c>
      <c r="M201" s="20">
        <v>4</v>
      </c>
      <c r="N201" s="20">
        <v>5</v>
      </c>
      <c r="O201" s="20" t="s">
        <v>62</v>
      </c>
      <c r="P201" s="20" t="s">
        <v>38</v>
      </c>
      <c r="Q201" s="20" t="s">
        <v>213</v>
      </c>
      <c r="R201" s="22">
        <v>1840000</v>
      </c>
      <c r="S201" s="22">
        <f t="shared" si="5"/>
        <v>1840000</v>
      </c>
      <c r="T201" s="22">
        <v>5</v>
      </c>
      <c r="U201" s="22">
        <f t="shared" ref="U201:U264" si="6">S201*T201</f>
        <v>9200000</v>
      </c>
      <c r="V201" s="23" t="s">
        <v>1023</v>
      </c>
      <c r="W201" s="23" t="s">
        <v>1024</v>
      </c>
      <c r="X201" s="44">
        <v>107882410429</v>
      </c>
      <c r="Y201" s="17" t="s">
        <v>52</v>
      </c>
    </row>
    <row r="202" spans="1:25" ht="29.25" customHeight="1" x14ac:dyDescent="0.25">
      <c r="A202" s="17">
        <v>194</v>
      </c>
      <c r="B202" s="17">
        <v>21</v>
      </c>
      <c r="C202" s="17">
        <v>183</v>
      </c>
      <c r="D202" s="17">
        <v>274</v>
      </c>
      <c r="E202" s="17" t="s">
        <v>1025</v>
      </c>
      <c r="F202" s="27" t="s">
        <v>1026</v>
      </c>
      <c r="G202" s="17">
        <v>62</v>
      </c>
      <c r="H202" s="17" t="s">
        <v>1027</v>
      </c>
      <c r="I202" s="17" t="s">
        <v>1028</v>
      </c>
      <c r="J202" s="17">
        <v>7480201</v>
      </c>
      <c r="K202" s="17">
        <v>5</v>
      </c>
      <c r="L202" s="17" t="s">
        <v>930</v>
      </c>
      <c r="M202" s="17">
        <v>4</v>
      </c>
      <c r="N202" s="17">
        <v>5</v>
      </c>
      <c r="O202" s="17" t="s">
        <v>258</v>
      </c>
      <c r="P202" s="17" t="s">
        <v>38</v>
      </c>
      <c r="Q202" s="17"/>
      <c r="R202" s="22">
        <v>1840000</v>
      </c>
      <c r="S202" s="22">
        <f t="shared" si="5"/>
        <v>1840000</v>
      </c>
      <c r="T202" s="22">
        <v>5</v>
      </c>
      <c r="U202" s="22">
        <f t="shared" si="6"/>
        <v>9200000</v>
      </c>
      <c r="V202" s="17" t="s">
        <v>1029</v>
      </c>
      <c r="W202" s="17" t="s">
        <v>1030</v>
      </c>
      <c r="X202" s="17" t="s">
        <v>1031</v>
      </c>
      <c r="Y202" s="17" t="s">
        <v>52</v>
      </c>
    </row>
    <row r="203" spans="1:25" ht="29.25" customHeight="1" x14ac:dyDescent="0.25">
      <c r="A203" s="17">
        <v>195</v>
      </c>
      <c r="B203" s="17">
        <v>22</v>
      </c>
      <c r="C203" s="17">
        <v>185</v>
      </c>
      <c r="D203" s="17">
        <v>276</v>
      </c>
      <c r="E203" s="17" t="s">
        <v>1032</v>
      </c>
      <c r="F203" s="27" t="s">
        <v>1033</v>
      </c>
      <c r="G203" s="17">
        <v>62</v>
      </c>
      <c r="H203" s="17" t="s">
        <v>1034</v>
      </c>
      <c r="I203" s="17" t="s">
        <v>1028</v>
      </c>
      <c r="J203" s="17">
        <v>7480201</v>
      </c>
      <c r="K203" s="17">
        <v>5</v>
      </c>
      <c r="L203" s="17" t="s">
        <v>930</v>
      </c>
      <c r="M203" s="17">
        <v>4</v>
      </c>
      <c r="N203" s="17">
        <v>5</v>
      </c>
      <c r="O203" s="17" t="s">
        <v>116</v>
      </c>
      <c r="P203" s="17" t="s">
        <v>38</v>
      </c>
      <c r="Q203" s="17"/>
      <c r="R203" s="22">
        <v>1840000</v>
      </c>
      <c r="S203" s="22">
        <f t="shared" si="5"/>
        <v>1840000</v>
      </c>
      <c r="T203" s="22">
        <v>5</v>
      </c>
      <c r="U203" s="22">
        <f t="shared" si="6"/>
        <v>9200000</v>
      </c>
      <c r="V203" s="17">
        <v>18767496</v>
      </c>
      <c r="W203" s="17" t="s">
        <v>1035</v>
      </c>
      <c r="X203" s="17" t="s">
        <v>1036</v>
      </c>
      <c r="Y203" s="17" t="s">
        <v>52</v>
      </c>
    </row>
    <row r="204" spans="1:25" ht="29.25" customHeight="1" x14ac:dyDescent="0.25">
      <c r="A204" s="17">
        <v>196</v>
      </c>
      <c r="B204" s="17">
        <v>23</v>
      </c>
      <c r="C204" s="17">
        <v>186</v>
      </c>
      <c r="D204" s="17">
        <v>277</v>
      </c>
      <c r="E204" s="17" t="s">
        <v>1037</v>
      </c>
      <c r="F204" s="27" t="s">
        <v>1038</v>
      </c>
      <c r="G204" s="17">
        <v>62</v>
      </c>
      <c r="H204" s="17" t="s">
        <v>1034</v>
      </c>
      <c r="I204" s="17" t="s">
        <v>1028</v>
      </c>
      <c r="J204" s="17">
        <v>7480201</v>
      </c>
      <c r="K204" s="17">
        <v>5</v>
      </c>
      <c r="L204" s="17" t="s">
        <v>930</v>
      </c>
      <c r="M204" s="17">
        <v>4</v>
      </c>
      <c r="N204" s="17">
        <v>5</v>
      </c>
      <c r="O204" s="17" t="s">
        <v>116</v>
      </c>
      <c r="P204" s="17" t="s">
        <v>38</v>
      </c>
      <c r="Q204" s="17"/>
      <c r="R204" s="22">
        <v>1840000</v>
      </c>
      <c r="S204" s="22">
        <f t="shared" si="5"/>
        <v>1840000</v>
      </c>
      <c r="T204" s="22">
        <v>5</v>
      </c>
      <c r="U204" s="22">
        <f t="shared" si="6"/>
        <v>9200000</v>
      </c>
      <c r="V204" s="17" t="s">
        <v>1039</v>
      </c>
      <c r="W204" s="17" t="s">
        <v>1040</v>
      </c>
      <c r="X204" s="17" t="s">
        <v>1041</v>
      </c>
      <c r="Y204" s="17" t="s">
        <v>52</v>
      </c>
    </row>
    <row r="205" spans="1:25" ht="29.25" customHeight="1" x14ac:dyDescent="0.25">
      <c r="A205" s="17">
        <v>197</v>
      </c>
      <c r="B205" s="17">
        <v>24</v>
      </c>
      <c r="C205" s="17">
        <v>187</v>
      </c>
      <c r="D205" s="17">
        <v>278</v>
      </c>
      <c r="E205" s="17" t="s">
        <v>1042</v>
      </c>
      <c r="F205" s="27" t="s">
        <v>1043</v>
      </c>
      <c r="G205" s="17">
        <v>62</v>
      </c>
      <c r="H205" s="17" t="s">
        <v>1027</v>
      </c>
      <c r="I205" s="17" t="s">
        <v>1028</v>
      </c>
      <c r="J205" s="17">
        <v>7480201</v>
      </c>
      <c r="K205" s="17">
        <v>5</v>
      </c>
      <c r="L205" s="17" t="s">
        <v>930</v>
      </c>
      <c r="M205" s="17">
        <v>4</v>
      </c>
      <c r="N205" s="17">
        <v>5</v>
      </c>
      <c r="O205" s="17" t="s">
        <v>55</v>
      </c>
      <c r="P205" s="17" t="s">
        <v>38</v>
      </c>
      <c r="Q205" s="17"/>
      <c r="R205" s="22">
        <v>1840000</v>
      </c>
      <c r="S205" s="22">
        <f t="shared" si="5"/>
        <v>1840000</v>
      </c>
      <c r="T205" s="22">
        <v>5</v>
      </c>
      <c r="U205" s="22">
        <f t="shared" si="6"/>
        <v>9200000</v>
      </c>
      <c r="V205" s="17">
        <v>187974536</v>
      </c>
      <c r="W205" s="17" t="s">
        <v>1044</v>
      </c>
      <c r="X205" s="17" t="s">
        <v>1045</v>
      </c>
      <c r="Y205" s="17" t="s">
        <v>52</v>
      </c>
    </row>
    <row r="206" spans="1:25" ht="29.25" customHeight="1" x14ac:dyDescent="0.25">
      <c r="A206" s="17">
        <v>198</v>
      </c>
      <c r="B206" s="17">
        <v>25</v>
      </c>
      <c r="C206" s="17">
        <v>188</v>
      </c>
      <c r="D206" s="17">
        <v>279</v>
      </c>
      <c r="E206" s="17" t="s">
        <v>1046</v>
      </c>
      <c r="F206" s="27" t="s">
        <v>1047</v>
      </c>
      <c r="G206" s="17">
        <v>62</v>
      </c>
      <c r="H206" s="17" t="s">
        <v>1027</v>
      </c>
      <c r="I206" s="17" t="s">
        <v>1028</v>
      </c>
      <c r="J206" s="17">
        <v>7480201</v>
      </c>
      <c r="K206" s="17">
        <v>5</v>
      </c>
      <c r="L206" s="17" t="s">
        <v>930</v>
      </c>
      <c r="M206" s="17">
        <v>4</v>
      </c>
      <c r="N206" s="17">
        <v>5</v>
      </c>
      <c r="O206" s="17" t="s">
        <v>55</v>
      </c>
      <c r="P206" s="17" t="s">
        <v>38</v>
      </c>
      <c r="Q206" s="17"/>
      <c r="R206" s="22">
        <v>1840000</v>
      </c>
      <c r="S206" s="22">
        <f t="shared" si="5"/>
        <v>1840000</v>
      </c>
      <c r="T206" s="22">
        <v>5</v>
      </c>
      <c r="U206" s="22">
        <f t="shared" si="6"/>
        <v>9200000</v>
      </c>
      <c r="V206" s="17">
        <v>187880642</v>
      </c>
      <c r="W206" s="17" t="s">
        <v>1048</v>
      </c>
      <c r="X206" s="17" t="s">
        <v>1049</v>
      </c>
      <c r="Y206" s="17" t="s">
        <v>52</v>
      </c>
    </row>
    <row r="207" spans="1:25" ht="29.25" customHeight="1" x14ac:dyDescent="0.25">
      <c r="A207" s="17">
        <v>199</v>
      </c>
      <c r="B207" s="17">
        <v>26</v>
      </c>
      <c r="C207" s="17">
        <v>189</v>
      </c>
      <c r="D207" s="17">
        <v>280</v>
      </c>
      <c r="E207" s="17" t="s">
        <v>1050</v>
      </c>
      <c r="F207" s="27" t="s">
        <v>1051</v>
      </c>
      <c r="G207" s="17">
        <v>62</v>
      </c>
      <c r="H207" s="17" t="s">
        <v>1027</v>
      </c>
      <c r="I207" s="17" t="s">
        <v>1028</v>
      </c>
      <c r="J207" s="17">
        <v>7480201</v>
      </c>
      <c r="K207" s="17">
        <v>5</v>
      </c>
      <c r="L207" s="17" t="s">
        <v>930</v>
      </c>
      <c r="M207" s="17">
        <v>4</v>
      </c>
      <c r="N207" s="17">
        <v>5</v>
      </c>
      <c r="O207" s="17" t="s">
        <v>55</v>
      </c>
      <c r="P207" s="17" t="s">
        <v>38</v>
      </c>
      <c r="Q207" s="17"/>
      <c r="R207" s="22">
        <v>1840000</v>
      </c>
      <c r="S207" s="22">
        <f t="shared" si="5"/>
        <v>1840000</v>
      </c>
      <c r="T207" s="22">
        <v>5</v>
      </c>
      <c r="U207" s="22">
        <f t="shared" si="6"/>
        <v>9200000</v>
      </c>
      <c r="V207" s="17">
        <v>184474973</v>
      </c>
      <c r="W207" s="17" t="s">
        <v>1052</v>
      </c>
      <c r="X207" s="17" t="s">
        <v>1053</v>
      </c>
      <c r="Y207" s="17" t="s">
        <v>52</v>
      </c>
    </row>
    <row r="208" spans="1:25" ht="29.25" customHeight="1" x14ac:dyDescent="0.25">
      <c r="A208" s="17">
        <v>200</v>
      </c>
      <c r="B208" s="17">
        <v>27</v>
      </c>
      <c r="C208" s="17">
        <v>190</v>
      </c>
      <c r="D208" s="17">
        <v>281</v>
      </c>
      <c r="E208" s="17" t="s">
        <v>1054</v>
      </c>
      <c r="F208" s="27" t="s">
        <v>1055</v>
      </c>
      <c r="G208" s="17">
        <v>62</v>
      </c>
      <c r="H208" s="17" t="s">
        <v>1027</v>
      </c>
      <c r="I208" s="17" t="s">
        <v>1028</v>
      </c>
      <c r="J208" s="17">
        <v>7480201</v>
      </c>
      <c r="K208" s="17">
        <v>5</v>
      </c>
      <c r="L208" s="17" t="s">
        <v>930</v>
      </c>
      <c r="M208" s="17">
        <v>4</v>
      </c>
      <c r="N208" s="17">
        <v>5</v>
      </c>
      <c r="O208" s="17" t="s">
        <v>55</v>
      </c>
      <c r="P208" s="17" t="s">
        <v>38</v>
      </c>
      <c r="Q208" s="17"/>
      <c r="R208" s="22">
        <v>1840000</v>
      </c>
      <c r="S208" s="22">
        <f t="shared" si="5"/>
        <v>1840000</v>
      </c>
      <c r="T208" s="22">
        <v>5</v>
      </c>
      <c r="U208" s="22">
        <f t="shared" si="6"/>
        <v>9200000</v>
      </c>
      <c r="V208" s="17" t="s">
        <v>1056</v>
      </c>
      <c r="W208" s="17" t="s">
        <v>1057</v>
      </c>
      <c r="X208" s="17" t="s">
        <v>1058</v>
      </c>
      <c r="Y208" s="17" t="s">
        <v>52</v>
      </c>
    </row>
    <row r="209" spans="1:25" ht="29.25" customHeight="1" x14ac:dyDescent="0.25">
      <c r="A209" s="17">
        <v>201</v>
      </c>
      <c r="B209" s="17">
        <v>28</v>
      </c>
      <c r="C209" s="17">
        <v>491</v>
      </c>
      <c r="D209" s="17">
        <v>439</v>
      </c>
      <c r="E209" s="30" t="s">
        <v>1059</v>
      </c>
      <c r="F209" s="27" t="s">
        <v>1060</v>
      </c>
      <c r="G209" s="17">
        <v>62</v>
      </c>
      <c r="H209" s="17" t="s">
        <v>1061</v>
      </c>
      <c r="I209" s="17" t="s">
        <v>1028</v>
      </c>
      <c r="J209" s="17">
        <v>7480201</v>
      </c>
      <c r="K209" s="17">
        <v>5</v>
      </c>
      <c r="L209" s="17" t="s">
        <v>930</v>
      </c>
      <c r="M209" s="17">
        <v>4</v>
      </c>
      <c r="N209" s="17">
        <v>5</v>
      </c>
      <c r="O209" s="17" t="s">
        <v>75</v>
      </c>
      <c r="P209" s="17" t="s">
        <v>76</v>
      </c>
      <c r="Q209" s="17" t="s">
        <v>69</v>
      </c>
      <c r="R209" s="22">
        <v>1840000</v>
      </c>
      <c r="S209" s="22">
        <f>R209*70%</f>
        <v>1288000</v>
      </c>
      <c r="T209" s="22">
        <v>5</v>
      </c>
      <c r="U209" s="22">
        <f t="shared" si="6"/>
        <v>6440000</v>
      </c>
      <c r="V209" s="30" t="s">
        <v>1062</v>
      </c>
      <c r="W209" s="30" t="s">
        <v>1063</v>
      </c>
      <c r="X209" s="30" t="s">
        <v>1064</v>
      </c>
      <c r="Y209" s="17" t="s">
        <v>52</v>
      </c>
    </row>
    <row r="210" spans="1:25" ht="29.25" customHeight="1" x14ac:dyDescent="0.25">
      <c r="A210" s="17">
        <v>202</v>
      </c>
      <c r="B210" s="17">
        <v>29</v>
      </c>
      <c r="C210" s="17">
        <v>492</v>
      </c>
      <c r="D210" s="17">
        <v>440</v>
      </c>
      <c r="E210" s="30" t="s">
        <v>1065</v>
      </c>
      <c r="F210" s="27" t="s">
        <v>1066</v>
      </c>
      <c r="G210" s="17">
        <v>62</v>
      </c>
      <c r="H210" s="17" t="s">
        <v>1067</v>
      </c>
      <c r="I210" s="17" t="s">
        <v>1028</v>
      </c>
      <c r="J210" s="17">
        <v>7480201</v>
      </c>
      <c r="K210" s="17">
        <v>5</v>
      </c>
      <c r="L210" s="17" t="s">
        <v>930</v>
      </c>
      <c r="M210" s="17">
        <v>4</v>
      </c>
      <c r="N210" s="17">
        <v>5</v>
      </c>
      <c r="O210" s="17" t="s">
        <v>47</v>
      </c>
      <c r="P210" s="17" t="s">
        <v>48</v>
      </c>
      <c r="Q210" s="17"/>
      <c r="R210" s="22">
        <v>1840000</v>
      </c>
      <c r="S210" s="22">
        <f>50%*R210</f>
        <v>920000</v>
      </c>
      <c r="T210" s="22">
        <v>5</v>
      </c>
      <c r="U210" s="22">
        <f t="shared" si="6"/>
        <v>4600000</v>
      </c>
      <c r="V210" s="30" t="s">
        <v>1068</v>
      </c>
      <c r="W210" s="30" t="s">
        <v>1069</v>
      </c>
      <c r="X210" s="30" t="s">
        <v>1069</v>
      </c>
      <c r="Y210" s="17" t="s">
        <v>52</v>
      </c>
    </row>
    <row r="211" spans="1:25" ht="29.25" customHeight="1" x14ac:dyDescent="0.25">
      <c r="A211" s="17">
        <v>203</v>
      </c>
      <c r="B211" s="17">
        <v>30</v>
      </c>
      <c r="C211" s="17">
        <v>537</v>
      </c>
      <c r="D211" s="17">
        <v>485</v>
      </c>
      <c r="E211" s="30" t="s">
        <v>1070</v>
      </c>
      <c r="F211" s="27" t="s">
        <v>1071</v>
      </c>
      <c r="G211" s="17">
        <v>62</v>
      </c>
      <c r="H211" s="17" t="s">
        <v>1027</v>
      </c>
      <c r="I211" s="17" t="s">
        <v>1028</v>
      </c>
      <c r="J211" s="17">
        <v>7480201</v>
      </c>
      <c r="K211" s="17">
        <v>5</v>
      </c>
      <c r="L211" s="17" t="s">
        <v>930</v>
      </c>
      <c r="M211" s="17">
        <v>4</v>
      </c>
      <c r="N211" s="17">
        <v>5</v>
      </c>
      <c r="O211" s="17" t="s">
        <v>55</v>
      </c>
      <c r="P211" s="17" t="s">
        <v>38</v>
      </c>
      <c r="Q211" s="17"/>
      <c r="R211" s="22">
        <v>1840000</v>
      </c>
      <c r="S211" s="22">
        <f>R211</f>
        <v>1840000</v>
      </c>
      <c r="T211" s="22">
        <v>5</v>
      </c>
      <c r="U211" s="22">
        <f t="shared" si="6"/>
        <v>9200000</v>
      </c>
      <c r="V211" s="30" t="s">
        <v>1072</v>
      </c>
      <c r="W211" s="30" t="s">
        <v>1073</v>
      </c>
      <c r="X211" s="30" t="s">
        <v>1074</v>
      </c>
      <c r="Y211" s="17" t="s">
        <v>52</v>
      </c>
    </row>
    <row r="212" spans="1:25" ht="29.25" customHeight="1" x14ac:dyDescent="0.25">
      <c r="A212" s="17">
        <v>204</v>
      </c>
      <c r="B212" s="17">
        <v>31</v>
      </c>
      <c r="C212" s="17">
        <v>368</v>
      </c>
      <c r="D212" s="17">
        <v>320</v>
      </c>
      <c r="E212" s="30" t="s">
        <v>1075</v>
      </c>
      <c r="F212" s="27" t="s">
        <v>1076</v>
      </c>
      <c r="G212" s="17">
        <v>63</v>
      </c>
      <c r="H212" s="17" t="s">
        <v>1077</v>
      </c>
      <c r="I212" s="17" t="s">
        <v>1028</v>
      </c>
      <c r="J212" s="17">
        <v>7480201</v>
      </c>
      <c r="K212" s="17">
        <v>5</v>
      </c>
      <c r="L212" s="17" t="s">
        <v>930</v>
      </c>
      <c r="M212" s="17">
        <v>4</v>
      </c>
      <c r="N212" s="17">
        <v>5</v>
      </c>
      <c r="O212" s="17" t="s">
        <v>55</v>
      </c>
      <c r="P212" s="17" t="s">
        <v>38</v>
      </c>
      <c r="Q212" s="17"/>
      <c r="R212" s="22">
        <v>1840000</v>
      </c>
      <c r="S212" s="22">
        <f>R212</f>
        <v>1840000</v>
      </c>
      <c r="T212" s="22">
        <v>5</v>
      </c>
      <c r="U212" s="22">
        <f t="shared" si="6"/>
        <v>9200000</v>
      </c>
      <c r="V212" s="17" t="s">
        <v>1078</v>
      </c>
      <c r="W212" s="17" t="s">
        <v>1079</v>
      </c>
      <c r="X212" s="30" t="s">
        <v>1080</v>
      </c>
      <c r="Y212" s="17" t="s">
        <v>52</v>
      </c>
    </row>
    <row r="213" spans="1:25" ht="29.25" customHeight="1" x14ac:dyDescent="0.25">
      <c r="A213" s="17">
        <v>205</v>
      </c>
      <c r="B213" s="17">
        <v>32</v>
      </c>
      <c r="C213" s="17">
        <v>371</v>
      </c>
      <c r="D213" s="17">
        <v>322</v>
      </c>
      <c r="E213" s="17" t="s">
        <v>1081</v>
      </c>
      <c r="F213" s="27" t="s">
        <v>1082</v>
      </c>
      <c r="G213" s="17">
        <v>63</v>
      </c>
      <c r="H213" s="17" t="s">
        <v>1077</v>
      </c>
      <c r="I213" s="17" t="s">
        <v>1028</v>
      </c>
      <c r="J213" s="17">
        <v>7480201</v>
      </c>
      <c r="K213" s="17">
        <v>5</v>
      </c>
      <c r="L213" s="17" t="s">
        <v>930</v>
      </c>
      <c r="M213" s="17">
        <v>4</v>
      </c>
      <c r="N213" s="17">
        <v>5</v>
      </c>
      <c r="O213" s="17" t="s">
        <v>116</v>
      </c>
      <c r="P213" s="17" t="s">
        <v>38</v>
      </c>
      <c r="Q213" s="17"/>
      <c r="R213" s="22">
        <v>1840000</v>
      </c>
      <c r="S213" s="22">
        <f>R213</f>
        <v>1840000</v>
      </c>
      <c r="T213" s="22">
        <v>5</v>
      </c>
      <c r="U213" s="22">
        <f t="shared" si="6"/>
        <v>9200000</v>
      </c>
      <c r="V213" s="17" t="s">
        <v>1083</v>
      </c>
      <c r="W213" s="17" t="s">
        <v>1084</v>
      </c>
      <c r="X213" s="17" t="s">
        <v>1085</v>
      </c>
      <c r="Y213" s="17" t="s">
        <v>52</v>
      </c>
    </row>
    <row r="214" spans="1:25" ht="29.25" customHeight="1" x14ac:dyDescent="0.25">
      <c r="A214" s="17">
        <v>206</v>
      </c>
      <c r="B214" s="17">
        <v>33</v>
      </c>
      <c r="C214" s="17">
        <v>372</v>
      </c>
      <c r="D214" s="17">
        <v>323</v>
      </c>
      <c r="E214" s="17" t="s">
        <v>1086</v>
      </c>
      <c r="F214" s="27" t="s">
        <v>1087</v>
      </c>
      <c r="G214" s="17">
        <v>63</v>
      </c>
      <c r="H214" s="17" t="s">
        <v>933</v>
      </c>
      <c r="I214" s="17" t="s">
        <v>1028</v>
      </c>
      <c r="J214" s="17">
        <v>7480201</v>
      </c>
      <c r="K214" s="17">
        <v>5</v>
      </c>
      <c r="L214" s="17" t="s">
        <v>930</v>
      </c>
      <c r="M214" s="17">
        <v>4</v>
      </c>
      <c r="N214" s="17">
        <v>5</v>
      </c>
      <c r="O214" s="17" t="s">
        <v>55</v>
      </c>
      <c r="P214" s="17" t="s">
        <v>38</v>
      </c>
      <c r="Q214" s="17"/>
      <c r="R214" s="22">
        <v>1840000</v>
      </c>
      <c r="S214" s="22">
        <f>R214</f>
        <v>1840000</v>
      </c>
      <c r="T214" s="22">
        <v>5</v>
      </c>
      <c r="U214" s="22">
        <f t="shared" si="6"/>
        <v>9200000</v>
      </c>
      <c r="V214" s="17" t="s">
        <v>1088</v>
      </c>
      <c r="W214" s="17" t="s">
        <v>1089</v>
      </c>
      <c r="X214" s="17" t="s">
        <v>1090</v>
      </c>
      <c r="Y214" s="17" t="s">
        <v>52</v>
      </c>
    </row>
    <row r="215" spans="1:25" ht="29.25" customHeight="1" x14ac:dyDescent="0.25">
      <c r="A215" s="17">
        <v>207</v>
      </c>
      <c r="B215" s="17">
        <v>34</v>
      </c>
      <c r="C215" s="17">
        <v>373</v>
      </c>
      <c r="D215" s="17">
        <v>324</v>
      </c>
      <c r="E215" s="17" t="s">
        <v>1091</v>
      </c>
      <c r="F215" s="27" t="s">
        <v>1092</v>
      </c>
      <c r="G215" s="17">
        <v>63</v>
      </c>
      <c r="H215" s="17" t="s">
        <v>933</v>
      </c>
      <c r="I215" s="17" t="s">
        <v>1028</v>
      </c>
      <c r="J215" s="17">
        <v>7480201</v>
      </c>
      <c r="K215" s="17">
        <v>5</v>
      </c>
      <c r="L215" s="17" t="s">
        <v>930</v>
      </c>
      <c r="M215" s="17">
        <v>4</v>
      </c>
      <c r="N215" s="17">
        <v>5</v>
      </c>
      <c r="O215" s="17" t="s">
        <v>75</v>
      </c>
      <c r="P215" s="17" t="s">
        <v>76</v>
      </c>
      <c r="Q215" s="17" t="s">
        <v>69</v>
      </c>
      <c r="R215" s="22">
        <v>1840000</v>
      </c>
      <c r="S215" s="22">
        <f>R215*70%</f>
        <v>1288000</v>
      </c>
      <c r="T215" s="22">
        <v>5</v>
      </c>
      <c r="U215" s="22">
        <f t="shared" si="6"/>
        <v>6440000</v>
      </c>
      <c r="V215" s="17" t="s">
        <v>1093</v>
      </c>
      <c r="W215" s="17" t="s">
        <v>1094</v>
      </c>
      <c r="X215" s="17" t="s">
        <v>1095</v>
      </c>
      <c r="Y215" s="17" t="s">
        <v>52</v>
      </c>
    </row>
    <row r="216" spans="1:25" ht="29.25" customHeight="1" x14ac:dyDescent="0.25">
      <c r="A216" s="17">
        <v>208</v>
      </c>
      <c r="B216" s="17">
        <v>35</v>
      </c>
      <c r="C216" s="17">
        <v>374</v>
      </c>
      <c r="D216" s="17">
        <v>325</v>
      </c>
      <c r="E216" s="17" t="s">
        <v>1096</v>
      </c>
      <c r="F216" s="27" t="s">
        <v>1097</v>
      </c>
      <c r="G216" s="17">
        <v>63</v>
      </c>
      <c r="H216" s="17" t="s">
        <v>1098</v>
      </c>
      <c r="I216" s="17" t="s">
        <v>1028</v>
      </c>
      <c r="J216" s="17">
        <v>7480201</v>
      </c>
      <c r="K216" s="17">
        <v>5</v>
      </c>
      <c r="L216" s="17" t="s">
        <v>930</v>
      </c>
      <c r="M216" s="17">
        <v>4</v>
      </c>
      <c r="N216" s="17">
        <v>5</v>
      </c>
      <c r="O216" s="17" t="s">
        <v>55</v>
      </c>
      <c r="P216" s="17" t="s">
        <v>38</v>
      </c>
      <c r="Q216" s="17"/>
      <c r="R216" s="22">
        <v>1840000</v>
      </c>
      <c r="S216" s="22">
        <f>R216</f>
        <v>1840000</v>
      </c>
      <c r="T216" s="22">
        <v>5</v>
      </c>
      <c r="U216" s="22">
        <f t="shared" si="6"/>
        <v>9200000</v>
      </c>
      <c r="V216" s="17" t="s">
        <v>1099</v>
      </c>
      <c r="W216" s="17" t="s">
        <v>1100</v>
      </c>
      <c r="X216" s="17" t="s">
        <v>1101</v>
      </c>
      <c r="Y216" s="17" t="s">
        <v>52</v>
      </c>
    </row>
    <row r="217" spans="1:25" ht="29.25" customHeight="1" x14ac:dyDescent="0.25">
      <c r="A217" s="17">
        <v>209</v>
      </c>
      <c r="B217" s="17">
        <v>36</v>
      </c>
      <c r="C217" s="17">
        <v>376</v>
      </c>
      <c r="D217" s="17">
        <v>327</v>
      </c>
      <c r="E217" s="17" t="s">
        <v>1102</v>
      </c>
      <c r="F217" s="27" t="s">
        <v>1103</v>
      </c>
      <c r="G217" s="17">
        <v>63</v>
      </c>
      <c r="H217" s="17" t="s">
        <v>1104</v>
      </c>
      <c r="I217" s="17" t="s">
        <v>1028</v>
      </c>
      <c r="J217" s="17">
        <v>7480201</v>
      </c>
      <c r="K217" s="17">
        <v>5</v>
      </c>
      <c r="L217" s="17" t="s">
        <v>930</v>
      </c>
      <c r="M217" s="17">
        <v>4</v>
      </c>
      <c r="N217" s="17">
        <v>5</v>
      </c>
      <c r="O217" s="17" t="s">
        <v>116</v>
      </c>
      <c r="P217" s="17" t="s">
        <v>38</v>
      </c>
      <c r="Q217" s="17"/>
      <c r="R217" s="22">
        <v>1840000</v>
      </c>
      <c r="S217" s="22">
        <f>R217</f>
        <v>1840000</v>
      </c>
      <c r="T217" s="22">
        <v>5</v>
      </c>
      <c r="U217" s="22">
        <f t="shared" si="6"/>
        <v>9200000</v>
      </c>
      <c r="V217" s="17" t="s">
        <v>1105</v>
      </c>
      <c r="W217" s="17" t="s">
        <v>1106</v>
      </c>
      <c r="X217" s="17" t="s">
        <v>1107</v>
      </c>
      <c r="Y217" s="17" t="s">
        <v>52</v>
      </c>
    </row>
    <row r="218" spans="1:25" ht="29.25" customHeight="1" x14ac:dyDescent="0.25">
      <c r="A218" s="17">
        <v>210</v>
      </c>
      <c r="B218" s="17">
        <v>37</v>
      </c>
      <c r="C218" s="17">
        <v>377</v>
      </c>
      <c r="D218" s="17">
        <v>328</v>
      </c>
      <c r="E218" s="17" t="s">
        <v>1108</v>
      </c>
      <c r="F218" s="27" t="s">
        <v>1109</v>
      </c>
      <c r="G218" s="17">
        <v>63</v>
      </c>
      <c r="H218" s="17" t="s">
        <v>1104</v>
      </c>
      <c r="I218" s="17" t="s">
        <v>1028</v>
      </c>
      <c r="J218" s="17">
        <v>7480201</v>
      </c>
      <c r="K218" s="17">
        <v>5</v>
      </c>
      <c r="L218" s="17" t="s">
        <v>930</v>
      </c>
      <c r="M218" s="17">
        <v>4</v>
      </c>
      <c r="N218" s="17">
        <v>5</v>
      </c>
      <c r="O218" s="17" t="s">
        <v>47</v>
      </c>
      <c r="P218" s="17" t="s">
        <v>48</v>
      </c>
      <c r="Q218" s="17"/>
      <c r="R218" s="22">
        <v>1840000</v>
      </c>
      <c r="S218" s="22">
        <f>50%*R218</f>
        <v>920000</v>
      </c>
      <c r="T218" s="22">
        <v>5</v>
      </c>
      <c r="U218" s="22">
        <f t="shared" si="6"/>
        <v>4600000</v>
      </c>
      <c r="V218" s="17" t="s">
        <v>1110</v>
      </c>
      <c r="W218" s="17" t="s">
        <v>1111</v>
      </c>
      <c r="X218" s="30" t="s">
        <v>1112</v>
      </c>
      <c r="Y218" s="17" t="s">
        <v>52</v>
      </c>
    </row>
    <row r="219" spans="1:25" ht="29.25" customHeight="1" x14ac:dyDescent="0.25">
      <c r="A219" s="17">
        <v>211</v>
      </c>
      <c r="B219" s="17">
        <v>38</v>
      </c>
      <c r="C219" s="17">
        <v>378</v>
      </c>
      <c r="D219" s="17">
        <v>329</v>
      </c>
      <c r="E219" s="17" t="s">
        <v>1113</v>
      </c>
      <c r="F219" s="27" t="s">
        <v>1114</v>
      </c>
      <c r="G219" s="17">
        <v>63</v>
      </c>
      <c r="H219" s="17" t="s">
        <v>1104</v>
      </c>
      <c r="I219" s="17" t="s">
        <v>1028</v>
      </c>
      <c r="J219" s="17">
        <v>7480201</v>
      </c>
      <c r="K219" s="17">
        <v>5</v>
      </c>
      <c r="L219" s="17" t="s">
        <v>930</v>
      </c>
      <c r="M219" s="17">
        <v>4</v>
      </c>
      <c r="N219" s="17">
        <v>5</v>
      </c>
      <c r="O219" s="17" t="s">
        <v>62</v>
      </c>
      <c r="P219" s="17" t="s">
        <v>38</v>
      </c>
      <c r="Q219" s="17" t="s">
        <v>69</v>
      </c>
      <c r="R219" s="22">
        <v>1840000</v>
      </c>
      <c r="S219" s="22">
        <f>R219</f>
        <v>1840000</v>
      </c>
      <c r="T219" s="22">
        <v>5</v>
      </c>
      <c r="U219" s="22">
        <f t="shared" si="6"/>
        <v>9200000</v>
      </c>
      <c r="V219" s="17" t="s">
        <v>1115</v>
      </c>
      <c r="W219" s="17" t="s">
        <v>1116</v>
      </c>
      <c r="X219" s="17" t="s">
        <v>1117</v>
      </c>
      <c r="Y219" s="17" t="s">
        <v>52</v>
      </c>
    </row>
    <row r="220" spans="1:25" ht="29.25" customHeight="1" x14ac:dyDescent="0.25">
      <c r="A220" s="17">
        <v>212</v>
      </c>
      <c r="B220" s="17">
        <v>39</v>
      </c>
      <c r="C220" s="17">
        <v>381</v>
      </c>
      <c r="D220" s="17">
        <v>331</v>
      </c>
      <c r="E220" s="17" t="s">
        <v>1118</v>
      </c>
      <c r="F220" s="27" t="s">
        <v>1119</v>
      </c>
      <c r="G220" s="17">
        <v>63</v>
      </c>
      <c r="H220" s="17" t="s">
        <v>1120</v>
      </c>
      <c r="I220" s="17" t="s">
        <v>1028</v>
      </c>
      <c r="J220" s="17">
        <v>7480201</v>
      </c>
      <c r="K220" s="17">
        <v>5</v>
      </c>
      <c r="L220" s="17" t="s">
        <v>930</v>
      </c>
      <c r="M220" s="17">
        <v>4</v>
      </c>
      <c r="N220" s="17">
        <v>5</v>
      </c>
      <c r="O220" s="17" t="s">
        <v>55</v>
      </c>
      <c r="P220" s="17" t="s">
        <v>38</v>
      </c>
      <c r="Q220" s="17"/>
      <c r="R220" s="22">
        <v>1840000</v>
      </c>
      <c r="S220" s="22">
        <f>R220</f>
        <v>1840000</v>
      </c>
      <c r="T220" s="22">
        <v>5</v>
      </c>
      <c r="U220" s="22">
        <f t="shared" si="6"/>
        <v>9200000</v>
      </c>
      <c r="V220" s="17" t="s">
        <v>1121</v>
      </c>
      <c r="W220" s="17" t="s">
        <v>1122</v>
      </c>
      <c r="X220" s="30" t="s">
        <v>1123</v>
      </c>
      <c r="Y220" s="17" t="s">
        <v>52</v>
      </c>
    </row>
    <row r="221" spans="1:25" ht="29.25" customHeight="1" x14ac:dyDescent="0.25">
      <c r="A221" s="17">
        <v>213</v>
      </c>
      <c r="B221" s="17">
        <v>40</v>
      </c>
      <c r="C221" s="17">
        <v>431</v>
      </c>
      <c r="D221" s="17">
        <v>380</v>
      </c>
      <c r="E221" s="30" t="s">
        <v>1124</v>
      </c>
      <c r="F221" s="27" t="s">
        <v>1125</v>
      </c>
      <c r="G221" s="17">
        <v>63</v>
      </c>
      <c r="H221" s="17" t="s">
        <v>1077</v>
      </c>
      <c r="I221" s="17" t="s">
        <v>1028</v>
      </c>
      <c r="J221" s="17">
        <v>7480201</v>
      </c>
      <c r="K221" s="17">
        <v>5</v>
      </c>
      <c r="L221" s="17" t="s">
        <v>930</v>
      </c>
      <c r="M221" s="17">
        <v>4</v>
      </c>
      <c r="N221" s="17">
        <v>5</v>
      </c>
      <c r="O221" s="17" t="s">
        <v>62</v>
      </c>
      <c r="P221" s="17" t="s">
        <v>38</v>
      </c>
      <c r="Q221" s="17" t="s">
        <v>69</v>
      </c>
      <c r="R221" s="22">
        <v>1840000</v>
      </c>
      <c r="S221" s="22">
        <f>R221</f>
        <v>1840000</v>
      </c>
      <c r="T221" s="22">
        <v>5</v>
      </c>
      <c r="U221" s="22">
        <f t="shared" si="6"/>
        <v>9200000</v>
      </c>
      <c r="V221" s="30" t="s">
        <v>1126</v>
      </c>
      <c r="W221" s="30" t="s">
        <v>1127</v>
      </c>
      <c r="X221" s="17" t="s">
        <v>1128</v>
      </c>
      <c r="Y221" s="17" t="s">
        <v>52</v>
      </c>
    </row>
    <row r="222" spans="1:25" ht="29.25" customHeight="1" x14ac:dyDescent="0.25">
      <c r="A222" s="17">
        <v>214</v>
      </c>
      <c r="B222" s="17">
        <v>41</v>
      </c>
      <c r="C222" s="17">
        <v>495</v>
      </c>
      <c r="D222" s="17">
        <v>443</v>
      </c>
      <c r="E222" s="30" t="s">
        <v>1129</v>
      </c>
      <c r="F222" s="27" t="s">
        <v>1130</v>
      </c>
      <c r="G222" s="17">
        <v>64</v>
      </c>
      <c r="H222" s="17" t="s">
        <v>1131</v>
      </c>
      <c r="I222" s="17" t="s">
        <v>1028</v>
      </c>
      <c r="J222" s="17">
        <v>7480201</v>
      </c>
      <c r="K222" s="17">
        <v>5</v>
      </c>
      <c r="L222" s="17" t="s">
        <v>930</v>
      </c>
      <c r="M222" s="17">
        <v>4</v>
      </c>
      <c r="N222" s="17">
        <v>5</v>
      </c>
      <c r="O222" s="17" t="s">
        <v>55</v>
      </c>
      <c r="P222" s="17" t="s">
        <v>38</v>
      </c>
      <c r="Q222" s="17"/>
      <c r="R222" s="22">
        <v>1840000</v>
      </c>
      <c r="S222" s="22">
        <f>R222</f>
        <v>1840000</v>
      </c>
      <c r="T222" s="22">
        <v>5</v>
      </c>
      <c r="U222" s="22">
        <f t="shared" si="6"/>
        <v>9200000</v>
      </c>
      <c r="V222" s="30" t="s">
        <v>1132</v>
      </c>
      <c r="W222" s="30" t="s">
        <v>1133</v>
      </c>
      <c r="X222" s="17" t="s">
        <v>1134</v>
      </c>
      <c r="Y222" s="17" t="s">
        <v>42</v>
      </c>
    </row>
    <row r="223" spans="1:25" ht="29.25" customHeight="1" x14ac:dyDescent="0.25">
      <c r="A223" s="17">
        <v>215</v>
      </c>
      <c r="B223" s="17">
        <v>42</v>
      </c>
      <c r="C223" s="17">
        <v>498</v>
      </c>
      <c r="D223" s="17">
        <v>446</v>
      </c>
      <c r="E223" s="30" t="s">
        <v>1135</v>
      </c>
      <c r="F223" s="27" t="s">
        <v>1136</v>
      </c>
      <c r="G223" s="17">
        <v>64</v>
      </c>
      <c r="H223" s="17" t="s">
        <v>988</v>
      </c>
      <c r="I223" s="17" t="s">
        <v>1028</v>
      </c>
      <c r="J223" s="17">
        <v>7480201</v>
      </c>
      <c r="K223" s="17">
        <v>5</v>
      </c>
      <c r="L223" s="17" t="s">
        <v>930</v>
      </c>
      <c r="M223" s="17">
        <v>4</v>
      </c>
      <c r="N223" s="17">
        <v>5</v>
      </c>
      <c r="O223" s="17" t="s">
        <v>55</v>
      </c>
      <c r="P223" s="17" t="s">
        <v>38</v>
      </c>
      <c r="Q223" s="17"/>
      <c r="R223" s="22">
        <v>1840000</v>
      </c>
      <c r="S223" s="22">
        <f>R223</f>
        <v>1840000</v>
      </c>
      <c r="T223" s="22">
        <v>5</v>
      </c>
      <c r="U223" s="22">
        <f t="shared" si="6"/>
        <v>9200000</v>
      </c>
      <c r="V223" s="30" t="s">
        <v>1137</v>
      </c>
      <c r="W223" s="30" t="s">
        <v>1138</v>
      </c>
      <c r="X223" s="17" t="s">
        <v>1139</v>
      </c>
      <c r="Y223" s="17" t="s">
        <v>42</v>
      </c>
    </row>
    <row r="224" spans="1:25" ht="29.25" customHeight="1" x14ac:dyDescent="0.25">
      <c r="A224" s="17">
        <v>216</v>
      </c>
      <c r="B224" s="17">
        <v>43</v>
      </c>
      <c r="C224" s="17">
        <v>499</v>
      </c>
      <c r="D224" s="17">
        <v>447</v>
      </c>
      <c r="E224" s="30" t="s">
        <v>1140</v>
      </c>
      <c r="F224" s="27" t="s">
        <v>1141</v>
      </c>
      <c r="G224" s="17">
        <v>64</v>
      </c>
      <c r="H224" s="17" t="s">
        <v>1142</v>
      </c>
      <c r="I224" s="17" t="s">
        <v>1028</v>
      </c>
      <c r="J224" s="17">
        <v>7480201</v>
      </c>
      <c r="K224" s="17">
        <v>5</v>
      </c>
      <c r="L224" s="17" t="s">
        <v>930</v>
      </c>
      <c r="M224" s="17">
        <v>4</v>
      </c>
      <c r="N224" s="17">
        <v>5</v>
      </c>
      <c r="O224" s="17" t="s">
        <v>75</v>
      </c>
      <c r="P224" s="17" t="s">
        <v>76</v>
      </c>
      <c r="Q224" s="17" t="s">
        <v>69</v>
      </c>
      <c r="R224" s="22">
        <v>1840000</v>
      </c>
      <c r="S224" s="22">
        <f>R224*70%</f>
        <v>1288000</v>
      </c>
      <c r="T224" s="22">
        <v>5</v>
      </c>
      <c r="U224" s="22">
        <f t="shared" si="6"/>
        <v>6440000</v>
      </c>
      <c r="V224" s="30" t="s">
        <v>1143</v>
      </c>
      <c r="W224" s="30" t="s">
        <v>1144</v>
      </c>
      <c r="X224" s="17" t="s">
        <v>1145</v>
      </c>
      <c r="Y224" s="17" t="s">
        <v>42</v>
      </c>
    </row>
    <row r="225" spans="1:25" ht="29.25" customHeight="1" x14ac:dyDescent="0.25">
      <c r="A225" s="17">
        <v>217</v>
      </c>
      <c r="B225" s="17">
        <v>44</v>
      </c>
      <c r="C225" s="17">
        <v>500</v>
      </c>
      <c r="D225" s="17">
        <v>448</v>
      </c>
      <c r="E225" s="30" t="s">
        <v>1146</v>
      </c>
      <c r="F225" s="27" t="s">
        <v>1147</v>
      </c>
      <c r="G225" s="17">
        <v>64</v>
      </c>
      <c r="H225" s="17" t="s">
        <v>1142</v>
      </c>
      <c r="I225" s="17" t="s">
        <v>1028</v>
      </c>
      <c r="J225" s="17">
        <v>7480201</v>
      </c>
      <c r="K225" s="17">
        <v>5</v>
      </c>
      <c r="L225" s="17" t="s">
        <v>930</v>
      </c>
      <c r="M225" s="17">
        <v>4</v>
      </c>
      <c r="N225" s="17">
        <v>5</v>
      </c>
      <c r="O225" s="17" t="s">
        <v>55</v>
      </c>
      <c r="P225" s="17" t="s">
        <v>38</v>
      </c>
      <c r="Q225" s="17"/>
      <c r="R225" s="22">
        <v>1840000</v>
      </c>
      <c r="S225" s="22">
        <f>R225</f>
        <v>1840000</v>
      </c>
      <c r="T225" s="22">
        <v>5</v>
      </c>
      <c r="U225" s="22">
        <f t="shared" si="6"/>
        <v>9200000</v>
      </c>
      <c r="V225" s="30" t="s">
        <v>1148</v>
      </c>
      <c r="W225" s="30" t="s">
        <v>1149</v>
      </c>
      <c r="X225" s="17" t="s">
        <v>1150</v>
      </c>
      <c r="Y225" s="17" t="s">
        <v>42</v>
      </c>
    </row>
    <row r="226" spans="1:25" ht="29.25" customHeight="1" x14ac:dyDescent="0.25">
      <c r="A226" s="17">
        <v>218</v>
      </c>
      <c r="B226" s="17">
        <v>45</v>
      </c>
      <c r="C226" s="17">
        <v>501</v>
      </c>
      <c r="D226" s="17">
        <v>449</v>
      </c>
      <c r="E226" s="30" t="s">
        <v>1151</v>
      </c>
      <c r="F226" s="55" t="s">
        <v>1152</v>
      </c>
      <c r="G226" s="17">
        <v>64</v>
      </c>
      <c r="H226" s="17" t="s">
        <v>988</v>
      </c>
      <c r="I226" s="17" t="s">
        <v>1028</v>
      </c>
      <c r="J226" s="17">
        <v>7480201</v>
      </c>
      <c r="K226" s="17">
        <v>5</v>
      </c>
      <c r="L226" s="17" t="s">
        <v>930</v>
      </c>
      <c r="M226" s="17">
        <v>4</v>
      </c>
      <c r="N226" s="17">
        <v>5</v>
      </c>
      <c r="O226" s="17" t="s">
        <v>55</v>
      </c>
      <c r="P226" s="17" t="s">
        <v>38</v>
      </c>
      <c r="Q226" s="17"/>
      <c r="R226" s="22">
        <v>1840000</v>
      </c>
      <c r="S226" s="22">
        <f>R226</f>
        <v>1840000</v>
      </c>
      <c r="T226" s="22">
        <v>5</v>
      </c>
      <c r="U226" s="22">
        <f t="shared" si="6"/>
        <v>9200000</v>
      </c>
      <c r="V226" s="30" t="s">
        <v>1153</v>
      </c>
      <c r="W226" s="30" t="s">
        <v>1154</v>
      </c>
      <c r="X226" s="17" t="s">
        <v>1155</v>
      </c>
      <c r="Y226" s="17" t="s">
        <v>42</v>
      </c>
    </row>
    <row r="227" spans="1:25" ht="29.25" customHeight="1" x14ac:dyDescent="0.25">
      <c r="A227" s="17">
        <v>219</v>
      </c>
      <c r="B227" s="17">
        <v>46</v>
      </c>
      <c r="C227" s="17">
        <v>502</v>
      </c>
      <c r="D227" s="17">
        <v>450</v>
      </c>
      <c r="E227" s="30" t="s">
        <v>1156</v>
      </c>
      <c r="F227" s="27" t="s">
        <v>1157</v>
      </c>
      <c r="G227" s="17">
        <v>64</v>
      </c>
      <c r="H227" s="17" t="s">
        <v>1158</v>
      </c>
      <c r="I227" s="17" t="s">
        <v>1028</v>
      </c>
      <c r="J227" s="17">
        <v>7480201</v>
      </c>
      <c r="K227" s="17">
        <v>5</v>
      </c>
      <c r="L227" s="17" t="s">
        <v>930</v>
      </c>
      <c r="M227" s="17">
        <v>4</v>
      </c>
      <c r="N227" s="17">
        <v>5</v>
      </c>
      <c r="O227" s="17" t="s">
        <v>55</v>
      </c>
      <c r="P227" s="17" t="s">
        <v>38</v>
      </c>
      <c r="Q227" s="17"/>
      <c r="R227" s="22">
        <v>1840000</v>
      </c>
      <c r="S227" s="22">
        <f>R227</f>
        <v>1840000</v>
      </c>
      <c r="T227" s="22">
        <v>5</v>
      </c>
      <c r="U227" s="22">
        <f t="shared" si="6"/>
        <v>9200000</v>
      </c>
      <c r="V227" s="30" t="s">
        <v>1159</v>
      </c>
      <c r="W227" s="30" t="s">
        <v>1160</v>
      </c>
      <c r="X227" s="17" t="s">
        <v>1161</v>
      </c>
      <c r="Y227" s="17" t="s">
        <v>42</v>
      </c>
    </row>
    <row r="228" spans="1:25" ht="29.25" customHeight="1" x14ac:dyDescent="0.25">
      <c r="A228" s="17">
        <v>220</v>
      </c>
      <c r="B228" s="17">
        <v>47</v>
      </c>
      <c r="C228" s="17">
        <v>503</v>
      </c>
      <c r="D228" s="17">
        <v>451</v>
      </c>
      <c r="E228" s="30" t="s">
        <v>1162</v>
      </c>
      <c r="F228" s="27" t="s">
        <v>1163</v>
      </c>
      <c r="G228" s="17">
        <v>64</v>
      </c>
      <c r="H228" s="17" t="s">
        <v>1158</v>
      </c>
      <c r="I228" s="17" t="s">
        <v>1028</v>
      </c>
      <c r="J228" s="17">
        <v>7480201</v>
      </c>
      <c r="K228" s="17">
        <v>5</v>
      </c>
      <c r="L228" s="17" t="s">
        <v>930</v>
      </c>
      <c r="M228" s="17">
        <v>4</v>
      </c>
      <c r="N228" s="17">
        <v>5</v>
      </c>
      <c r="O228" s="17" t="s">
        <v>47</v>
      </c>
      <c r="P228" s="17" t="s">
        <v>48</v>
      </c>
      <c r="Q228" s="17"/>
      <c r="R228" s="22">
        <v>1840000</v>
      </c>
      <c r="S228" s="22">
        <f>50%*R228</f>
        <v>920000</v>
      </c>
      <c r="T228" s="22">
        <v>5</v>
      </c>
      <c r="U228" s="22">
        <f t="shared" si="6"/>
        <v>4600000</v>
      </c>
      <c r="V228" s="30" t="s">
        <v>1164</v>
      </c>
      <c r="W228" s="30" t="s">
        <v>1165</v>
      </c>
      <c r="X228" s="17" t="s">
        <v>1166</v>
      </c>
      <c r="Y228" s="17" t="s">
        <v>42</v>
      </c>
    </row>
    <row r="229" spans="1:25" ht="29.25" customHeight="1" x14ac:dyDescent="0.25">
      <c r="A229" s="17">
        <v>221</v>
      </c>
      <c r="B229" s="17">
        <v>48</v>
      </c>
      <c r="C229" s="17">
        <v>504</v>
      </c>
      <c r="D229" s="17">
        <v>452</v>
      </c>
      <c r="E229" s="30" t="s">
        <v>1167</v>
      </c>
      <c r="F229" s="27" t="s">
        <v>1168</v>
      </c>
      <c r="G229" s="17">
        <v>64</v>
      </c>
      <c r="H229" s="17" t="s">
        <v>1169</v>
      </c>
      <c r="I229" s="17" t="s">
        <v>1028</v>
      </c>
      <c r="J229" s="17">
        <v>7480201</v>
      </c>
      <c r="K229" s="17">
        <v>5</v>
      </c>
      <c r="L229" s="17" t="s">
        <v>930</v>
      </c>
      <c r="M229" s="17">
        <v>4</v>
      </c>
      <c r="N229" s="17">
        <v>5</v>
      </c>
      <c r="O229" s="17" t="s">
        <v>55</v>
      </c>
      <c r="P229" s="17" t="s">
        <v>38</v>
      </c>
      <c r="Q229" s="17"/>
      <c r="R229" s="22">
        <v>1840000</v>
      </c>
      <c r="S229" s="22">
        <f>R229</f>
        <v>1840000</v>
      </c>
      <c r="T229" s="22">
        <v>5</v>
      </c>
      <c r="U229" s="22">
        <f t="shared" si="6"/>
        <v>9200000</v>
      </c>
      <c r="V229" s="30" t="s">
        <v>1170</v>
      </c>
      <c r="W229" s="30" t="s">
        <v>1171</v>
      </c>
      <c r="X229" s="17" t="s">
        <v>1172</v>
      </c>
      <c r="Y229" s="17" t="s">
        <v>42</v>
      </c>
    </row>
    <row r="230" spans="1:25" ht="29.25" customHeight="1" x14ac:dyDescent="0.25">
      <c r="A230" s="17">
        <v>222</v>
      </c>
      <c r="B230" s="17">
        <v>49</v>
      </c>
      <c r="C230" s="17">
        <v>506</v>
      </c>
      <c r="D230" s="17">
        <v>454</v>
      </c>
      <c r="E230" s="30" t="s">
        <v>1173</v>
      </c>
      <c r="F230" s="27" t="s">
        <v>536</v>
      </c>
      <c r="G230" s="17">
        <v>64</v>
      </c>
      <c r="H230" s="17" t="s">
        <v>1169</v>
      </c>
      <c r="I230" s="17" t="s">
        <v>1028</v>
      </c>
      <c r="J230" s="17">
        <v>7480201</v>
      </c>
      <c r="K230" s="17">
        <v>5</v>
      </c>
      <c r="L230" s="17" t="s">
        <v>930</v>
      </c>
      <c r="M230" s="17">
        <v>4</v>
      </c>
      <c r="N230" s="17">
        <v>5</v>
      </c>
      <c r="O230" s="17" t="s">
        <v>62</v>
      </c>
      <c r="P230" s="17" t="s">
        <v>38</v>
      </c>
      <c r="Q230" s="17" t="s">
        <v>69</v>
      </c>
      <c r="R230" s="22">
        <v>1840000</v>
      </c>
      <c r="S230" s="22">
        <f>R230</f>
        <v>1840000</v>
      </c>
      <c r="T230" s="22">
        <v>5</v>
      </c>
      <c r="U230" s="22">
        <f t="shared" si="6"/>
        <v>9200000</v>
      </c>
      <c r="V230" s="30" t="s">
        <v>1174</v>
      </c>
      <c r="W230" s="30" t="s">
        <v>1175</v>
      </c>
      <c r="X230" s="17" t="s">
        <v>1176</v>
      </c>
      <c r="Y230" s="17" t="s">
        <v>42</v>
      </c>
    </row>
    <row r="231" spans="1:25" ht="29.25" customHeight="1" x14ac:dyDescent="0.25">
      <c r="A231" s="17">
        <v>223</v>
      </c>
      <c r="B231" s="17">
        <v>50</v>
      </c>
      <c r="C231" s="17">
        <v>612</v>
      </c>
      <c r="D231" s="17">
        <v>560</v>
      </c>
      <c r="E231" s="32" t="s">
        <v>1177</v>
      </c>
      <c r="F231" s="27" t="s">
        <v>1178</v>
      </c>
      <c r="G231" s="17">
        <v>65</v>
      </c>
      <c r="H231" s="17" t="s">
        <v>928</v>
      </c>
      <c r="I231" s="17" t="s">
        <v>1028</v>
      </c>
      <c r="J231" s="17">
        <v>7480201</v>
      </c>
      <c r="K231" s="17">
        <v>5</v>
      </c>
      <c r="L231" s="17" t="s">
        <v>930</v>
      </c>
      <c r="M231" s="17">
        <v>4</v>
      </c>
      <c r="N231" s="17">
        <v>5</v>
      </c>
      <c r="O231" s="17" t="s">
        <v>55</v>
      </c>
      <c r="P231" s="17" t="s">
        <v>38</v>
      </c>
      <c r="Q231" s="17"/>
      <c r="R231" s="22">
        <v>1840000</v>
      </c>
      <c r="S231" s="22">
        <f>R231</f>
        <v>1840000</v>
      </c>
      <c r="T231" s="22">
        <v>5</v>
      </c>
      <c r="U231" s="22">
        <f t="shared" si="6"/>
        <v>9200000</v>
      </c>
      <c r="V231" s="30" t="s">
        <v>1179</v>
      </c>
      <c r="W231" s="30" t="s">
        <v>1180</v>
      </c>
      <c r="X231" s="30" t="s">
        <v>1180</v>
      </c>
      <c r="Y231" s="17" t="s">
        <v>102</v>
      </c>
    </row>
    <row r="232" spans="1:25" ht="29.25" customHeight="1" x14ac:dyDescent="0.25">
      <c r="A232" s="17">
        <v>224</v>
      </c>
      <c r="B232" s="17">
        <v>51</v>
      </c>
      <c r="C232" s="17">
        <v>613</v>
      </c>
      <c r="D232" s="17">
        <v>561</v>
      </c>
      <c r="E232" s="32" t="s">
        <v>1181</v>
      </c>
      <c r="F232" s="27" t="s">
        <v>1182</v>
      </c>
      <c r="G232" s="17">
        <v>65</v>
      </c>
      <c r="H232" s="17" t="s">
        <v>928</v>
      </c>
      <c r="I232" s="17" t="s">
        <v>1028</v>
      </c>
      <c r="J232" s="17">
        <v>7480201</v>
      </c>
      <c r="K232" s="17">
        <v>5</v>
      </c>
      <c r="L232" s="17" t="s">
        <v>930</v>
      </c>
      <c r="M232" s="17">
        <v>4</v>
      </c>
      <c r="N232" s="17">
        <v>5</v>
      </c>
      <c r="O232" s="17" t="s">
        <v>62</v>
      </c>
      <c r="P232" s="17" t="s">
        <v>38</v>
      </c>
      <c r="Q232" s="17" t="s">
        <v>69</v>
      </c>
      <c r="R232" s="22">
        <v>1840000</v>
      </c>
      <c r="S232" s="22">
        <f>R232</f>
        <v>1840000</v>
      </c>
      <c r="T232" s="22">
        <v>5</v>
      </c>
      <c r="U232" s="22">
        <f t="shared" si="6"/>
        <v>9200000</v>
      </c>
      <c r="V232" s="17" t="s">
        <v>1183</v>
      </c>
      <c r="W232" s="30" t="s">
        <v>1184</v>
      </c>
      <c r="X232" s="30" t="s">
        <v>1185</v>
      </c>
      <c r="Y232" s="17" t="s">
        <v>1186</v>
      </c>
    </row>
    <row r="233" spans="1:25" ht="29.25" customHeight="1" x14ac:dyDescent="0.25">
      <c r="A233" s="17">
        <v>225</v>
      </c>
      <c r="B233" s="17">
        <v>52</v>
      </c>
      <c r="C233" s="17">
        <v>614</v>
      </c>
      <c r="D233" s="17">
        <v>562</v>
      </c>
      <c r="E233" s="32" t="s">
        <v>1187</v>
      </c>
      <c r="F233" s="27" t="s">
        <v>1188</v>
      </c>
      <c r="G233" s="17">
        <v>65</v>
      </c>
      <c r="H233" s="17" t="s">
        <v>928</v>
      </c>
      <c r="I233" s="17" t="s">
        <v>1028</v>
      </c>
      <c r="J233" s="17">
        <v>7480201</v>
      </c>
      <c r="K233" s="17">
        <v>5</v>
      </c>
      <c r="L233" s="17" t="s">
        <v>930</v>
      </c>
      <c r="M233" s="17">
        <v>4</v>
      </c>
      <c r="N233" s="17">
        <v>5</v>
      </c>
      <c r="O233" s="17" t="s">
        <v>75</v>
      </c>
      <c r="P233" s="17" t="s">
        <v>76</v>
      </c>
      <c r="Q233" s="17" t="s">
        <v>69</v>
      </c>
      <c r="R233" s="22">
        <v>1840000</v>
      </c>
      <c r="S233" s="22">
        <f>R233*70%</f>
        <v>1288000</v>
      </c>
      <c r="T233" s="22">
        <v>5</v>
      </c>
      <c r="U233" s="22">
        <f t="shared" si="6"/>
        <v>6440000</v>
      </c>
      <c r="V233" s="30" t="s">
        <v>1189</v>
      </c>
      <c r="W233" s="30" t="s">
        <v>1190</v>
      </c>
      <c r="X233" s="30" t="s">
        <v>1191</v>
      </c>
      <c r="Y233" s="17" t="s">
        <v>102</v>
      </c>
    </row>
    <row r="234" spans="1:25" ht="29.25" customHeight="1" x14ac:dyDescent="0.25">
      <c r="A234" s="17">
        <v>226</v>
      </c>
      <c r="B234" s="17">
        <v>53</v>
      </c>
      <c r="C234" s="17">
        <v>616</v>
      </c>
      <c r="D234" s="17">
        <v>564</v>
      </c>
      <c r="E234" s="32" t="s">
        <v>1192</v>
      </c>
      <c r="F234" s="27" t="s">
        <v>1193</v>
      </c>
      <c r="G234" s="17">
        <v>65</v>
      </c>
      <c r="H234" s="17" t="s">
        <v>1006</v>
      </c>
      <c r="I234" s="17" t="s">
        <v>1028</v>
      </c>
      <c r="J234" s="17">
        <v>7480201</v>
      </c>
      <c r="K234" s="17">
        <v>5</v>
      </c>
      <c r="L234" s="17" t="s">
        <v>930</v>
      </c>
      <c r="M234" s="17">
        <v>4</v>
      </c>
      <c r="N234" s="17">
        <v>5</v>
      </c>
      <c r="O234" s="17" t="s">
        <v>75</v>
      </c>
      <c r="P234" s="17" t="s">
        <v>76</v>
      </c>
      <c r="Q234" s="17" t="s">
        <v>69</v>
      </c>
      <c r="R234" s="22">
        <v>1840000</v>
      </c>
      <c r="S234" s="22">
        <f>R234*70%</f>
        <v>1288000</v>
      </c>
      <c r="T234" s="22">
        <v>5</v>
      </c>
      <c r="U234" s="22">
        <f t="shared" si="6"/>
        <v>6440000</v>
      </c>
      <c r="V234" s="30" t="s">
        <v>1194</v>
      </c>
      <c r="W234" s="30" t="s">
        <v>1195</v>
      </c>
      <c r="X234" s="30" t="s">
        <v>1195</v>
      </c>
      <c r="Y234" s="17" t="s">
        <v>102</v>
      </c>
    </row>
    <row r="235" spans="1:25" ht="29.25" customHeight="1" x14ac:dyDescent="0.25">
      <c r="A235" s="17">
        <v>227</v>
      </c>
      <c r="B235" s="17">
        <v>54</v>
      </c>
      <c r="C235" s="17">
        <v>618</v>
      </c>
      <c r="D235" s="17">
        <v>566</v>
      </c>
      <c r="E235" s="32" t="s">
        <v>1196</v>
      </c>
      <c r="F235" s="39" t="s">
        <v>1197</v>
      </c>
      <c r="G235" s="17">
        <v>65</v>
      </c>
      <c r="H235" s="17" t="s">
        <v>1198</v>
      </c>
      <c r="I235" s="17" t="s">
        <v>1028</v>
      </c>
      <c r="J235" s="17">
        <v>7480201</v>
      </c>
      <c r="K235" s="17">
        <v>5</v>
      </c>
      <c r="L235" s="17" t="s">
        <v>930</v>
      </c>
      <c r="M235" s="17">
        <v>4</v>
      </c>
      <c r="N235" s="17">
        <v>5</v>
      </c>
      <c r="O235" s="17" t="s">
        <v>75</v>
      </c>
      <c r="P235" s="17" t="s">
        <v>76</v>
      </c>
      <c r="Q235" s="17" t="s">
        <v>69</v>
      </c>
      <c r="R235" s="22">
        <v>1840000</v>
      </c>
      <c r="S235" s="22">
        <f>R235*70%</f>
        <v>1288000</v>
      </c>
      <c r="T235" s="22">
        <v>5</v>
      </c>
      <c r="U235" s="22">
        <f t="shared" si="6"/>
        <v>6440000</v>
      </c>
      <c r="V235" s="30" t="s">
        <v>1199</v>
      </c>
      <c r="W235" s="30" t="s">
        <v>1200</v>
      </c>
      <c r="X235" s="30" t="s">
        <v>1201</v>
      </c>
      <c r="Y235" s="17" t="s">
        <v>102</v>
      </c>
    </row>
    <row r="236" spans="1:25" ht="29.25" customHeight="1" x14ac:dyDescent="0.25">
      <c r="A236" s="17">
        <v>228</v>
      </c>
      <c r="B236" s="17">
        <v>55</v>
      </c>
      <c r="C236" s="17">
        <v>620</v>
      </c>
      <c r="D236" s="17">
        <v>568</v>
      </c>
      <c r="E236" s="32" t="s">
        <v>1202</v>
      </c>
      <c r="F236" s="39" t="s">
        <v>1203</v>
      </c>
      <c r="G236" s="17">
        <v>65</v>
      </c>
      <c r="H236" s="17" t="s">
        <v>1204</v>
      </c>
      <c r="I236" s="17" t="s">
        <v>1028</v>
      </c>
      <c r="J236" s="17">
        <v>7480201</v>
      </c>
      <c r="K236" s="17">
        <v>5</v>
      </c>
      <c r="L236" s="17" t="s">
        <v>930</v>
      </c>
      <c r="M236" s="17">
        <v>4</v>
      </c>
      <c r="N236" s="17">
        <v>5</v>
      </c>
      <c r="O236" s="17" t="s">
        <v>116</v>
      </c>
      <c r="P236" s="17" t="s">
        <v>38</v>
      </c>
      <c r="Q236" s="17"/>
      <c r="R236" s="22">
        <v>1840000</v>
      </c>
      <c r="S236" s="22">
        <f>R236</f>
        <v>1840000</v>
      </c>
      <c r="T236" s="22">
        <v>5</v>
      </c>
      <c r="U236" s="22">
        <f t="shared" si="6"/>
        <v>9200000</v>
      </c>
      <c r="V236" s="30" t="s">
        <v>1205</v>
      </c>
      <c r="W236" s="30" t="s">
        <v>1206</v>
      </c>
      <c r="X236" s="30" t="s">
        <v>1207</v>
      </c>
      <c r="Y236" s="17" t="s">
        <v>310</v>
      </c>
    </row>
    <row r="237" spans="1:25" ht="29.25" customHeight="1" x14ac:dyDescent="0.25">
      <c r="A237" s="17">
        <v>229</v>
      </c>
      <c r="B237" s="17">
        <v>56</v>
      </c>
      <c r="C237" s="17">
        <v>622</v>
      </c>
      <c r="D237" s="17">
        <v>570</v>
      </c>
      <c r="E237" s="32" t="s">
        <v>1208</v>
      </c>
      <c r="F237" s="39" t="s">
        <v>1209</v>
      </c>
      <c r="G237" s="17">
        <v>65</v>
      </c>
      <c r="H237" s="17" t="s">
        <v>1204</v>
      </c>
      <c r="I237" s="17" t="s">
        <v>1028</v>
      </c>
      <c r="J237" s="17">
        <v>7480201</v>
      </c>
      <c r="K237" s="17">
        <v>5</v>
      </c>
      <c r="L237" s="17" t="s">
        <v>930</v>
      </c>
      <c r="M237" s="17">
        <v>4</v>
      </c>
      <c r="N237" s="17">
        <v>5</v>
      </c>
      <c r="O237" s="17" t="s">
        <v>116</v>
      </c>
      <c r="P237" s="17" t="s">
        <v>38</v>
      </c>
      <c r="Q237" s="17"/>
      <c r="R237" s="22">
        <v>1840000</v>
      </c>
      <c r="S237" s="22">
        <f>R237</f>
        <v>1840000</v>
      </c>
      <c r="T237" s="22">
        <v>5</v>
      </c>
      <c r="U237" s="22">
        <f t="shared" si="6"/>
        <v>9200000</v>
      </c>
      <c r="V237" s="30" t="s">
        <v>1210</v>
      </c>
      <c r="W237" s="30" t="s">
        <v>1211</v>
      </c>
      <c r="X237" s="30" t="s">
        <v>1212</v>
      </c>
      <c r="Y237" s="17" t="s">
        <v>102</v>
      </c>
    </row>
    <row r="238" spans="1:25" ht="29.25" customHeight="1" x14ac:dyDescent="0.25">
      <c r="A238" s="17">
        <v>230</v>
      </c>
      <c r="B238" s="17">
        <v>57</v>
      </c>
      <c r="C238" s="17">
        <v>645</v>
      </c>
      <c r="D238" s="17">
        <v>593</v>
      </c>
      <c r="E238" s="29" t="s">
        <v>1213</v>
      </c>
      <c r="F238" s="39" t="s">
        <v>1214</v>
      </c>
      <c r="G238" s="17">
        <v>65</v>
      </c>
      <c r="H238" s="17" t="s">
        <v>1204</v>
      </c>
      <c r="I238" s="17" t="s">
        <v>1028</v>
      </c>
      <c r="J238" s="17">
        <v>7480201</v>
      </c>
      <c r="K238" s="17">
        <v>5</v>
      </c>
      <c r="L238" s="17" t="s">
        <v>930</v>
      </c>
      <c r="M238" s="17">
        <v>4</v>
      </c>
      <c r="N238" s="17">
        <v>5</v>
      </c>
      <c r="O238" s="17" t="s">
        <v>62</v>
      </c>
      <c r="P238" s="17" t="s">
        <v>38</v>
      </c>
      <c r="Q238" s="17" t="s">
        <v>69</v>
      </c>
      <c r="R238" s="22">
        <v>1840000</v>
      </c>
      <c r="S238" s="22">
        <f>R238</f>
        <v>1840000</v>
      </c>
      <c r="T238" s="22">
        <v>5</v>
      </c>
      <c r="U238" s="22">
        <f t="shared" si="6"/>
        <v>9200000</v>
      </c>
      <c r="V238" s="30" t="s">
        <v>1215</v>
      </c>
      <c r="W238" s="30" t="s">
        <v>1216</v>
      </c>
      <c r="X238" s="30" t="s">
        <v>1217</v>
      </c>
      <c r="Y238" s="17" t="s">
        <v>42</v>
      </c>
    </row>
    <row r="239" spans="1:25" ht="29.25" customHeight="1" x14ac:dyDescent="0.25">
      <c r="A239" s="17">
        <v>231</v>
      </c>
      <c r="B239" s="17">
        <v>58</v>
      </c>
      <c r="C239" s="38">
        <v>661</v>
      </c>
      <c r="D239" s="38">
        <v>632</v>
      </c>
      <c r="E239" s="32" t="s">
        <v>1218</v>
      </c>
      <c r="F239" s="39" t="s">
        <v>1219</v>
      </c>
      <c r="G239" s="38">
        <v>65</v>
      </c>
      <c r="H239" s="17" t="s">
        <v>1198</v>
      </c>
      <c r="I239" s="17" t="s">
        <v>1028</v>
      </c>
      <c r="J239" s="17">
        <v>7480201</v>
      </c>
      <c r="K239" s="17">
        <v>5</v>
      </c>
      <c r="L239" s="17" t="s">
        <v>930</v>
      </c>
      <c r="M239" s="17">
        <v>4</v>
      </c>
      <c r="N239" s="17">
        <v>5</v>
      </c>
      <c r="O239" s="17" t="s">
        <v>55</v>
      </c>
      <c r="P239" s="17" t="s">
        <v>38</v>
      </c>
      <c r="Q239" s="25"/>
      <c r="R239" s="22">
        <v>1840000</v>
      </c>
      <c r="S239" s="22">
        <f>R239</f>
        <v>1840000</v>
      </c>
      <c r="T239" s="22">
        <v>5</v>
      </c>
      <c r="U239" s="22">
        <f t="shared" si="6"/>
        <v>9200000</v>
      </c>
      <c r="V239" s="30" t="s">
        <v>1220</v>
      </c>
      <c r="W239" s="30" t="s">
        <v>1221</v>
      </c>
      <c r="X239" s="30" t="s">
        <v>1221</v>
      </c>
      <c r="Y239" s="17" t="s">
        <v>52</v>
      </c>
    </row>
    <row r="240" spans="1:25" ht="29.25" customHeight="1" x14ac:dyDescent="0.25">
      <c r="A240" s="17">
        <v>232</v>
      </c>
      <c r="B240" s="17">
        <v>59</v>
      </c>
      <c r="C240" s="17">
        <v>685</v>
      </c>
      <c r="D240" s="17">
        <v>633</v>
      </c>
      <c r="E240" s="23" t="s">
        <v>1222</v>
      </c>
      <c r="F240" s="19" t="s">
        <v>1223</v>
      </c>
      <c r="G240" s="20">
        <v>66</v>
      </c>
      <c r="H240" s="20" t="s">
        <v>1224</v>
      </c>
      <c r="I240" s="20" t="s">
        <v>1028</v>
      </c>
      <c r="J240" s="20">
        <v>7480201</v>
      </c>
      <c r="K240" s="20">
        <v>5</v>
      </c>
      <c r="L240" s="20" t="s">
        <v>930</v>
      </c>
      <c r="M240" s="20">
        <v>4</v>
      </c>
      <c r="N240" s="20">
        <v>5</v>
      </c>
      <c r="O240" s="20" t="s">
        <v>75</v>
      </c>
      <c r="P240" s="20" t="s">
        <v>76</v>
      </c>
      <c r="Q240" s="20" t="s">
        <v>69</v>
      </c>
      <c r="R240" s="22">
        <v>1840000</v>
      </c>
      <c r="S240" s="22">
        <f>R240*70%</f>
        <v>1288000</v>
      </c>
      <c r="T240" s="22">
        <v>5</v>
      </c>
      <c r="U240" s="22">
        <f t="shared" si="6"/>
        <v>6440000</v>
      </c>
      <c r="V240" s="23" t="s">
        <v>1225</v>
      </c>
      <c r="W240" s="23" t="s">
        <v>1226</v>
      </c>
      <c r="X240" s="23" t="s">
        <v>1227</v>
      </c>
      <c r="Y240" s="20" t="s">
        <v>42</v>
      </c>
    </row>
    <row r="241" spans="1:25" ht="29.25" customHeight="1" x14ac:dyDescent="0.25">
      <c r="A241" s="17">
        <v>233</v>
      </c>
      <c r="B241" s="17">
        <v>60</v>
      </c>
      <c r="C241" s="17">
        <v>686</v>
      </c>
      <c r="D241" s="17">
        <v>634</v>
      </c>
      <c r="E241" s="23" t="s">
        <v>1228</v>
      </c>
      <c r="F241" s="19" t="s">
        <v>1229</v>
      </c>
      <c r="G241" s="20">
        <v>66</v>
      </c>
      <c r="H241" s="20" t="s">
        <v>1224</v>
      </c>
      <c r="I241" s="20" t="s">
        <v>1028</v>
      </c>
      <c r="J241" s="20">
        <v>7480201</v>
      </c>
      <c r="K241" s="20">
        <v>5</v>
      </c>
      <c r="L241" s="20" t="s">
        <v>930</v>
      </c>
      <c r="M241" s="20">
        <v>4</v>
      </c>
      <c r="N241" s="20">
        <v>5</v>
      </c>
      <c r="O241" s="20" t="s">
        <v>75</v>
      </c>
      <c r="P241" s="20" t="s">
        <v>76</v>
      </c>
      <c r="Q241" s="20" t="s">
        <v>69</v>
      </c>
      <c r="R241" s="22">
        <v>1840000</v>
      </c>
      <c r="S241" s="22">
        <f>R241*70%</f>
        <v>1288000</v>
      </c>
      <c r="T241" s="22">
        <v>5</v>
      </c>
      <c r="U241" s="22">
        <f t="shared" si="6"/>
        <v>6440000</v>
      </c>
      <c r="V241" s="23" t="s">
        <v>1230</v>
      </c>
      <c r="W241" s="23" t="s">
        <v>1231</v>
      </c>
      <c r="X241" s="23" t="s">
        <v>1232</v>
      </c>
      <c r="Y241" s="20" t="s">
        <v>42</v>
      </c>
    </row>
    <row r="242" spans="1:25" ht="29.25" customHeight="1" x14ac:dyDescent="0.25">
      <c r="A242" s="17">
        <v>234</v>
      </c>
      <c r="B242" s="17">
        <v>61</v>
      </c>
      <c r="C242" s="17">
        <v>687</v>
      </c>
      <c r="D242" s="17">
        <v>635</v>
      </c>
      <c r="E242" s="23" t="s">
        <v>1233</v>
      </c>
      <c r="F242" s="19" t="s">
        <v>1234</v>
      </c>
      <c r="G242" s="20">
        <v>66</v>
      </c>
      <c r="H242" s="20" t="s">
        <v>1224</v>
      </c>
      <c r="I242" s="20" t="s">
        <v>1028</v>
      </c>
      <c r="J242" s="20">
        <v>7480201</v>
      </c>
      <c r="K242" s="20">
        <v>5</v>
      </c>
      <c r="L242" s="20" t="s">
        <v>930</v>
      </c>
      <c r="M242" s="20">
        <v>4</v>
      </c>
      <c r="N242" s="20">
        <v>5</v>
      </c>
      <c r="O242" s="20" t="s">
        <v>62</v>
      </c>
      <c r="P242" s="20" t="s">
        <v>38</v>
      </c>
      <c r="Q242" s="20" t="s">
        <v>69</v>
      </c>
      <c r="R242" s="22">
        <v>1840000</v>
      </c>
      <c r="S242" s="22">
        <f>R242</f>
        <v>1840000</v>
      </c>
      <c r="T242" s="22">
        <v>5</v>
      </c>
      <c r="U242" s="22">
        <f t="shared" si="6"/>
        <v>9200000</v>
      </c>
      <c r="V242" s="23" t="s">
        <v>1235</v>
      </c>
      <c r="W242" s="23" t="s">
        <v>1236</v>
      </c>
      <c r="X242" s="23" t="s">
        <v>1237</v>
      </c>
      <c r="Y242" s="20" t="s">
        <v>42</v>
      </c>
    </row>
    <row r="243" spans="1:25" ht="29.25" customHeight="1" x14ac:dyDescent="0.25">
      <c r="A243" s="17">
        <v>235</v>
      </c>
      <c r="B243" s="17">
        <v>62</v>
      </c>
      <c r="C243" s="17">
        <v>688</v>
      </c>
      <c r="D243" s="17">
        <v>636</v>
      </c>
      <c r="E243" s="23" t="s">
        <v>1238</v>
      </c>
      <c r="F243" s="19" t="s">
        <v>1239</v>
      </c>
      <c r="G243" s="20">
        <v>66</v>
      </c>
      <c r="H243" s="20" t="s">
        <v>1240</v>
      </c>
      <c r="I243" s="20" t="s">
        <v>1241</v>
      </c>
      <c r="J243" s="20">
        <v>7480201</v>
      </c>
      <c r="K243" s="20">
        <v>5</v>
      </c>
      <c r="L243" s="20" t="s">
        <v>930</v>
      </c>
      <c r="M243" s="20">
        <v>4</v>
      </c>
      <c r="N243" s="20">
        <v>5</v>
      </c>
      <c r="O243" s="20" t="s">
        <v>75</v>
      </c>
      <c r="P243" s="20" t="s">
        <v>76</v>
      </c>
      <c r="Q243" s="20" t="s">
        <v>69</v>
      </c>
      <c r="R243" s="22">
        <v>1840000</v>
      </c>
      <c r="S243" s="22">
        <f>R243*70%</f>
        <v>1288000</v>
      </c>
      <c r="T243" s="22">
        <v>5</v>
      </c>
      <c r="U243" s="22">
        <f t="shared" si="6"/>
        <v>6440000</v>
      </c>
      <c r="V243" s="23" t="s">
        <v>1242</v>
      </c>
      <c r="W243" s="23" t="s">
        <v>1243</v>
      </c>
      <c r="X243" s="23" t="s">
        <v>1244</v>
      </c>
      <c r="Y243" s="17" t="s">
        <v>310</v>
      </c>
    </row>
    <row r="244" spans="1:25" ht="29.25" customHeight="1" x14ac:dyDescent="0.25">
      <c r="A244" s="17">
        <v>236</v>
      </c>
      <c r="B244" s="17">
        <v>63</v>
      </c>
      <c r="C244" s="17">
        <v>696</v>
      </c>
      <c r="D244" s="17">
        <v>644</v>
      </c>
      <c r="E244" s="23" t="s">
        <v>1245</v>
      </c>
      <c r="F244" s="19" t="s">
        <v>1246</v>
      </c>
      <c r="G244" s="20">
        <v>66</v>
      </c>
      <c r="H244" s="20" t="s">
        <v>1247</v>
      </c>
      <c r="I244" s="20" t="s">
        <v>1241</v>
      </c>
      <c r="J244" s="20">
        <v>7480201</v>
      </c>
      <c r="K244" s="20">
        <v>5</v>
      </c>
      <c r="L244" s="20" t="s">
        <v>930</v>
      </c>
      <c r="M244" s="20">
        <v>4</v>
      </c>
      <c r="N244" s="20">
        <v>5</v>
      </c>
      <c r="O244" s="20" t="s">
        <v>75</v>
      </c>
      <c r="P244" s="20" t="s">
        <v>76</v>
      </c>
      <c r="Q244" s="20" t="s">
        <v>69</v>
      </c>
      <c r="R244" s="22">
        <v>1840000</v>
      </c>
      <c r="S244" s="22">
        <f>R244*70%</f>
        <v>1288000</v>
      </c>
      <c r="T244" s="22">
        <v>5</v>
      </c>
      <c r="U244" s="22">
        <f t="shared" si="6"/>
        <v>6440000</v>
      </c>
      <c r="V244" s="23" t="s">
        <v>1248</v>
      </c>
      <c r="W244" s="23" t="s">
        <v>1249</v>
      </c>
      <c r="X244" s="23" t="s">
        <v>1250</v>
      </c>
      <c r="Y244" s="17" t="s">
        <v>102</v>
      </c>
    </row>
    <row r="245" spans="1:25" ht="29.25" customHeight="1" x14ac:dyDescent="0.25">
      <c r="A245" s="17">
        <v>237</v>
      </c>
      <c r="B245" s="17">
        <v>64</v>
      </c>
      <c r="C245" s="17">
        <v>304</v>
      </c>
      <c r="D245" s="17">
        <v>292</v>
      </c>
      <c r="E245" s="17" t="s">
        <v>1251</v>
      </c>
      <c r="F245" s="27" t="s">
        <v>1252</v>
      </c>
      <c r="G245" s="17">
        <v>62</v>
      </c>
      <c r="H245" s="17" t="s">
        <v>1253</v>
      </c>
      <c r="I245" s="17" t="s">
        <v>1254</v>
      </c>
      <c r="J245" s="17">
        <v>7480201</v>
      </c>
      <c r="K245" s="17">
        <v>5</v>
      </c>
      <c r="L245" s="17" t="s">
        <v>930</v>
      </c>
      <c r="M245" s="17">
        <v>4</v>
      </c>
      <c r="N245" s="17">
        <v>5</v>
      </c>
      <c r="O245" s="17" t="s">
        <v>116</v>
      </c>
      <c r="P245" s="17" t="s">
        <v>38</v>
      </c>
      <c r="Q245" s="17"/>
      <c r="R245" s="22">
        <v>1840000</v>
      </c>
      <c r="S245" s="22">
        <f>R245</f>
        <v>1840000</v>
      </c>
      <c r="T245" s="22">
        <v>5</v>
      </c>
      <c r="U245" s="22">
        <f t="shared" si="6"/>
        <v>9200000</v>
      </c>
      <c r="V245" s="17" t="s">
        <v>1255</v>
      </c>
      <c r="W245" s="17" t="s">
        <v>1256</v>
      </c>
      <c r="X245" s="17" t="s">
        <v>1257</v>
      </c>
      <c r="Y245" s="17" t="s">
        <v>52</v>
      </c>
    </row>
    <row r="246" spans="1:25" ht="29.25" customHeight="1" x14ac:dyDescent="0.25">
      <c r="A246" s="17">
        <v>238</v>
      </c>
      <c r="B246" s="17">
        <v>65</v>
      </c>
      <c r="C246" s="17">
        <v>370</v>
      </c>
      <c r="D246" s="17">
        <v>321</v>
      </c>
      <c r="E246" s="17" t="s">
        <v>1258</v>
      </c>
      <c r="F246" s="27" t="s">
        <v>1259</v>
      </c>
      <c r="G246" s="17">
        <v>63</v>
      </c>
      <c r="H246" s="17" t="s">
        <v>1260</v>
      </c>
      <c r="I246" s="17" t="s">
        <v>1254</v>
      </c>
      <c r="J246" s="17">
        <v>7480201</v>
      </c>
      <c r="K246" s="17">
        <v>5</v>
      </c>
      <c r="L246" s="17" t="s">
        <v>930</v>
      </c>
      <c r="M246" s="17">
        <v>4</v>
      </c>
      <c r="N246" s="17">
        <v>5</v>
      </c>
      <c r="O246" s="17" t="s">
        <v>55</v>
      </c>
      <c r="P246" s="17" t="s">
        <v>38</v>
      </c>
      <c r="Q246" s="17"/>
      <c r="R246" s="22">
        <v>1840000</v>
      </c>
      <c r="S246" s="22">
        <f>R246</f>
        <v>1840000</v>
      </c>
      <c r="T246" s="22">
        <v>5</v>
      </c>
      <c r="U246" s="22">
        <f t="shared" si="6"/>
        <v>9200000</v>
      </c>
      <c r="V246" s="17" t="s">
        <v>1261</v>
      </c>
      <c r="W246" s="17" t="s">
        <v>1262</v>
      </c>
      <c r="X246" s="17" t="s">
        <v>1263</v>
      </c>
      <c r="Y246" s="17" t="s">
        <v>52</v>
      </c>
    </row>
    <row r="247" spans="1:25" ht="29.25" customHeight="1" x14ac:dyDescent="0.25">
      <c r="A247" s="17">
        <v>239</v>
      </c>
      <c r="B247" s="17">
        <v>66</v>
      </c>
      <c r="C247" s="17">
        <v>383</v>
      </c>
      <c r="D247" s="17">
        <v>333</v>
      </c>
      <c r="E247" s="17" t="s">
        <v>1264</v>
      </c>
      <c r="F247" s="27" t="s">
        <v>1265</v>
      </c>
      <c r="G247" s="17">
        <v>63</v>
      </c>
      <c r="H247" s="17" t="s">
        <v>1260</v>
      </c>
      <c r="I247" s="17" t="s">
        <v>1254</v>
      </c>
      <c r="J247" s="17">
        <v>7480201</v>
      </c>
      <c r="K247" s="17">
        <v>5</v>
      </c>
      <c r="L247" s="17" t="s">
        <v>930</v>
      </c>
      <c r="M247" s="17">
        <v>4</v>
      </c>
      <c r="N247" s="17">
        <v>5</v>
      </c>
      <c r="O247" s="17" t="s">
        <v>258</v>
      </c>
      <c r="P247" s="17" t="s">
        <v>38</v>
      </c>
      <c r="Q247" s="17"/>
      <c r="R247" s="22">
        <v>1840000</v>
      </c>
      <c r="S247" s="22">
        <f>R247</f>
        <v>1840000</v>
      </c>
      <c r="T247" s="22">
        <v>5</v>
      </c>
      <c r="U247" s="22">
        <f t="shared" si="6"/>
        <v>9200000</v>
      </c>
      <c r="V247" s="17" t="s">
        <v>1266</v>
      </c>
      <c r="W247" s="17" t="s">
        <v>1267</v>
      </c>
      <c r="X247" s="17" t="s">
        <v>1268</v>
      </c>
      <c r="Y247" s="17" t="s">
        <v>52</v>
      </c>
    </row>
    <row r="248" spans="1:25" ht="29.25" customHeight="1" x14ac:dyDescent="0.25">
      <c r="A248" s="17">
        <v>240</v>
      </c>
      <c r="B248" s="17">
        <v>67</v>
      </c>
      <c r="C248" s="17">
        <v>384</v>
      </c>
      <c r="D248" s="17">
        <v>334</v>
      </c>
      <c r="E248" s="17" t="s">
        <v>1269</v>
      </c>
      <c r="F248" s="27" t="s">
        <v>1270</v>
      </c>
      <c r="G248" s="17">
        <v>63</v>
      </c>
      <c r="H248" s="17" t="s">
        <v>1260</v>
      </c>
      <c r="I248" s="17" t="s">
        <v>1254</v>
      </c>
      <c r="J248" s="17">
        <v>7480201</v>
      </c>
      <c r="K248" s="17">
        <v>5</v>
      </c>
      <c r="L248" s="17" t="s">
        <v>930</v>
      </c>
      <c r="M248" s="17">
        <v>4</v>
      </c>
      <c r="N248" s="17">
        <v>5</v>
      </c>
      <c r="O248" s="17" t="s">
        <v>116</v>
      </c>
      <c r="P248" s="17" t="s">
        <v>38</v>
      </c>
      <c r="Q248" s="17"/>
      <c r="R248" s="22">
        <v>1840000</v>
      </c>
      <c r="S248" s="22">
        <f>R248</f>
        <v>1840000</v>
      </c>
      <c r="T248" s="22">
        <v>5</v>
      </c>
      <c r="U248" s="22">
        <f t="shared" si="6"/>
        <v>9200000</v>
      </c>
      <c r="V248" s="17" t="s">
        <v>1271</v>
      </c>
      <c r="W248" s="17" t="s">
        <v>1272</v>
      </c>
      <c r="X248" s="30" t="s">
        <v>1273</v>
      </c>
      <c r="Y248" s="17" t="s">
        <v>52</v>
      </c>
    </row>
    <row r="249" spans="1:25" ht="29.25" customHeight="1" x14ac:dyDescent="0.25">
      <c r="A249" s="17">
        <v>241</v>
      </c>
      <c r="B249" s="17">
        <v>68</v>
      </c>
      <c r="C249" s="17">
        <v>493</v>
      </c>
      <c r="D249" s="17">
        <v>441</v>
      </c>
      <c r="E249" s="30" t="s">
        <v>1274</v>
      </c>
      <c r="F249" s="27" t="s">
        <v>1275</v>
      </c>
      <c r="G249" s="17">
        <v>64</v>
      </c>
      <c r="H249" s="17" t="s">
        <v>1276</v>
      </c>
      <c r="I249" s="17" t="s">
        <v>1254</v>
      </c>
      <c r="J249" s="17">
        <v>7480201</v>
      </c>
      <c r="K249" s="17">
        <v>5</v>
      </c>
      <c r="L249" s="17" t="s">
        <v>930</v>
      </c>
      <c r="M249" s="17">
        <v>4</v>
      </c>
      <c r="N249" s="17">
        <v>5</v>
      </c>
      <c r="O249" s="17" t="s">
        <v>47</v>
      </c>
      <c r="P249" s="17" t="s">
        <v>48</v>
      </c>
      <c r="Q249" s="17"/>
      <c r="R249" s="22">
        <v>1840000</v>
      </c>
      <c r="S249" s="22">
        <f>50%*R249</f>
        <v>920000</v>
      </c>
      <c r="T249" s="22">
        <v>5</v>
      </c>
      <c r="U249" s="22">
        <f t="shared" si="6"/>
        <v>4600000</v>
      </c>
      <c r="V249" s="30" t="s">
        <v>1277</v>
      </c>
      <c r="W249" s="30" t="s">
        <v>1278</v>
      </c>
      <c r="X249" s="17" t="s">
        <v>1279</v>
      </c>
      <c r="Y249" s="17" t="s">
        <v>42</v>
      </c>
    </row>
    <row r="250" spans="1:25" ht="29.25" customHeight="1" x14ac:dyDescent="0.25">
      <c r="A250" s="17">
        <v>242</v>
      </c>
      <c r="B250" s="17">
        <v>69</v>
      </c>
      <c r="C250" s="17">
        <v>494</v>
      </c>
      <c r="D250" s="17">
        <v>442</v>
      </c>
      <c r="E250" s="30" t="s">
        <v>1280</v>
      </c>
      <c r="F250" s="27" t="s">
        <v>1281</v>
      </c>
      <c r="G250" s="17">
        <v>64</v>
      </c>
      <c r="H250" s="17" t="s">
        <v>1276</v>
      </c>
      <c r="I250" s="17" t="s">
        <v>1254</v>
      </c>
      <c r="J250" s="17">
        <v>7480201</v>
      </c>
      <c r="K250" s="17">
        <v>5</v>
      </c>
      <c r="L250" s="17" t="s">
        <v>930</v>
      </c>
      <c r="M250" s="17">
        <v>4</v>
      </c>
      <c r="N250" s="17">
        <v>5</v>
      </c>
      <c r="O250" s="17" t="s">
        <v>55</v>
      </c>
      <c r="P250" s="17" t="s">
        <v>38</v>
      </c>
      <c r="Q250" s="17"/>
      <c r="R250" s="22">
        <v>1840000</v>
      </c>
      <c r="S250" s="22">
        <f>R250</f>
        <v>1840000</v>
      </c>
      <c r="T250" s="22">
        <v>5</v>
      </c>
      <c r="U250" s="22">
        <f t="shared" si="6"/>
        <v>9200000</v>
      </c>
      <c r="V250" s="30" t="s">
        <v>1282</v>
      </c>
      <c r="W250" s="30" t="s">
        <v>1283</v>
      </c>
      <c r="X250" s="17" t="s">
        <v>1284</v>
      </c>
      <c r="Y250" s="17" t="s">
        <v>42</v>
      </c>
    </row>
    <row r="251" spans="1:25" ht="29.25" customHeight="1" x14ac:dyDescent="0.25">
      <c r="A251" s="17">
        <v>243</v>
      </c>
      <c r="B251" s="17">
        <v>70</v>
      </c>
      <c r="C251" s="17">
        <v>223</v>
      </c>
      <c r="D251" s="17">
        <v>290</v>
      </c>
      <c r="E251" s="17" t="s">
        <v>1285</v>
      </c>
      <c r="F251" s="27" t="s">
        <v>1286</v>
      </c>
      <c r="G251" s="17">
        <v>62</v>
      </c>
      <c r="H251" s="17" t="s">
        <v>1253</v>
      </c>
      <c r="I251" s="17" t="s">
        <v>1287</v>
      </c>
      <c r="J251" s="17">
        <v>7520207</v>
      </c>
      <c r="K251" s="17">
        <v>5</v>
      </c>
      <c r="L251" s="17" t="s">
        <v>930</v>
      </c>
      <c r="M251" s="17">
        <v>4</v>
      </c>
      <c r="N251" s="17">
        <v>5</v>
      </c>
      <c r="O251" s="17" t="s">
        <v>116</v>
      </c>
      <c r="P251" s="17" t="s">
        <v>38</v>
      </c>
      <c r="Q251" s="17"/>
      <c r="R251" s="22">
        <v>1840000</v>
      </c>
      <c r="S251" s="22">
        <f>R251</f>
        <v>1840000</v>
      </c>
      <c r="T251" s="22">
        <v>5</v>
      </c>
      <c r="U251" s="22">
        <f t="shared" si="6"/>
        <v>9200000</v>
      </c>
      <c r="V251" s="17" t="s">
        <v>1288</v>
      </c>
      <c r="W251" s="17" t="s">
        <v>1289</v>
      </c>
      <c r="X251" s="17" t="s">
        <v>1290</v>
      </c>
      <c r="Y251" s="17" t="s">
        <v>52</v>
      </c>
    </row>
    <row r="252" spans="1:25" ht="29.25" customHeight="1" x14ac:dyDescent="0.25">
      <c r="A252" s="17">
        <v>244</v>
      </c>
      <c r="B252" s="17">
        <v>71</v>
      </c>
      <c r="C252" s="17">
        <v>224</v>
      </c>
      <c r="D252" s="17">
        <v>291</v>
      </c>
      <c r="E252" s="17" t="s">
        <v>1291</v>
      </c>
      <c r="F252" s="27" t="s">
        <v>1292</v>
      </c>
      <c r="G252" s="17">
        <v>62</v>
      </c>
      <c r="H252" s="17" t="s">
        <v>1253</v>
      </c>
      <c r="I252" s="17" t="s">
        <v>1287</v>
      </c>
      <c r="J252" s="17">
        <v>7520207</v>
      </c>
      <c r="K252" s="17">
        <v>5</v>
      </c>
      <c r="L252" s="17" t="s">
        <v>930</v>
      </c>
      <c r="M252" s="17">
        <v>4</v>
      </c>
      <c r="N252" s="17">
        <v>5</v>
      </c>
      <c r="O252" s="17" t="s">
        <v>116</v>
      </c>
      <c r="P252" s="17" t="s">
        <v>38</v>
      </c>
      <c r="Q252" s="17"/>
      <c r="R252" s="22">
        <v>1840000</v>
      </c>
      <c r="S252" s="22">
        <f>R252</f>
        <v>1840000</v>
      </c>
      <c r="T252" s="22">
        <v>5</v>
      </c>
      <c r="U252" s="22">
        <f t="shared" si="6"/>
        <v>9200000</v>
      </c>
      <c r="V252" s="17">
        <v>184485526</v>
      </c>
      <c r="W252" s="17" t="s">
        <v>1293</v>
      </c>
      <c r="X252" s="17" t="s">
        <v>1294</v>
      </c>
      <c r="Y252" s="17" t="s">
        <v>52</v>
      </c>
    </row>
    <row r="253" spans="1:25" ht="29.25" customHeight="1" x14ac:dyDescent="0.25">
      <c r="A253" s="17">
        <v>245</v>
      </c>
      <c r="B253" s="17">
        <v>72</v>
      </c>
      <c r="C253" s="17">
        <v>387</v>
      </c>
      <c r="D253" s="17">
        <v>337</v>
      </c>
      <c r="E253" s="17" t="s">
        <v>1295</v>
      </c>
      <c r="F253" s="27" t="s">
        <v>1296</v>
      </c>
      <c r="G253" s="17">
        <v>63</v>
      </c>
      <c r="H253" s="17" t="s">
        <v>1260</v>
      </c>
      <c r="I253" s="17" t="s">
        <v>1287</v>
      </c>
      <c r="J253" s="17">
        <v>7520207</v>
      </c>
      <c r="K253" s="17">
        <v>5</v>
      </c>
      <c r="L253" s="17" t="s">
        <v>930</v>
      </c>
      <c r="M253" s="17">
        <v>4</v>
      </c>
      <c r="N253" s="17">
        <v>5</v>
      </c>
      <c r="O253" s="17" t="s">
        <v>47</v>
      </c>
      <c r="P253" s="17" t="s">
        <v>48</v>
      </c>
      <c r="Q253" s="17"/>
      <c r="R253" s="22">
        <v>1840000</v>
      </c>
      <c r="S253" s="22">
        <f>50%*R253</f>
        <v>920000</v>
      </c>
      <c r="T253" s="22">
        <v>5</v>
      </c>
      <c r="U253" s="22">
        <f t="shared" si="6"/>
        <v>4600000</v>
      </c>
      <c r="V253" s="17" t="s">
        <v>1297</v>
      </c>
      <c r="W253" s="17" t="s">
        <v>1298</v>
      </c>
      <c r="X253" s="30" t="s">
        <v>1299</v>
      </c>
      <c r="Y253" s="17" t="s">
        <v>42</v>
      </c>
    </row>
    <row r="254" spans="1:25" ht="29.25" customHeight="1" x14ac:dyDescent="0.25">
      <c r="A254" s="17">
        <v>246</v>
      </c>
      <c r="B254" s="17">
        <v>73</v>
      </c>
      <c r="C254" s="17">
        <v>388</v>
      </c>
      <c r="D254" s="17">
        <v>338</v>
      </c>
      <c r="E254" s="17" t="s">
        <v>1300</v>
      </c>
      <c r="F254" s="27" t="s">
        <v>1301</v>
      </c>
      <c r="G254" s="17">
        <v>63</v>
      </c>
      <c r="H254" s="17" t="s">
        <v>1260</v>
      </c>
      <c r="I254" s="17" t="s">
        <v>1287</v>
      </c>
      <c r="J254" s="17">
        <v>7520207</v>
      </c>
      <c r="K254" s="17">
        <v>5</v>
      </c>
      <c r="L254" s="17" t="s">
        <v>930</v>
      </c>
      <c r="M254" s="17">
        <v>4</v>
      </c>
      <c r="N254" s="17">
        <v>5</v>
      </c>
      <c r="O254" s="17" t="s">
        <v>116</v>
      </c>
      <c r="P254" s="17" t="s">
        <v>38</v>
      </c>
      <c r="Q254" s="17"/>
      <c r="R254" s="22">
        <v>1840000</v>
      </c>
      <c r="S254" s="22">
        <f>R254</f>
        <v>1840000</v>
      </c>
      <c r="T254" s="22">
        <v>5</v>
      </c>
      <c r="U254" s="22">
        <f t="shared" si="6"/>
        <v>9200000</v>
      </c>
      <c r="V254" s="17" t="s">
        <v>1302</v>
      </c>
      <c r="W254" s="17" t="s">
        <v>1303</v>
      </c>
      <c r="X254" s="17">
        <v>8213012003</v>
      </c>
      <c r="Y254" s="17" t="s">
        <v>584</v>
      </c>
    </row>
    <row r="255" spans="1:25" ht="29.25" customHeight="1" x14ac:dyDescent="0.25">
      <c r="A255" s="17">
        <v>247</v>
      </c>
      <c r="B255" s="17">
        <v>74</v>
      </c>
      <c r="C255" s="17">
        <v>515</v>
      </c>
      <c r="D255" s="17">
        <v>463</v>
      </c>
      <c r="E255" s="30" t="s">
        <v>1304</v>
      </c>
      <c r="F255" s="27" t="s">
        <v>1305</v>
      </c>
      <c r="G255" s="17">
        <v>64</v>
      </c>
      <c r="H255" s="17" t="s">
        <v>1276</v>
      </c>
      <c r="I255" s="17" t="s">
        <v>1287</v>
      </c>
      <c r="J255" s="17">
        <v>7520207</v>
      </c>
      <c r="K255" s="17">
        <v>5</v>
      </c>
      <c r="L255" s="17" t="s">
        <v>930</v>
      </c>
      <c r="M255" s="17">
        <v>4</v>
      </c>
      <c r="N255" s="17">
        <v>5</v>
      </c>
      <c r="O255" s="17" t="s">
        <v>116</v>
      </c>
      <c r="P255" s="17" t="s">
        <v>38</v>
      </c>
      <c r="Q255" s="17"/>
      <c r="R255" s="22">
        <v>1840000</v>
      </c>
      <c r="S255" s="22">
        <f>R255</f>
        <v>1840000</v>
      </c>
      <c r="T255" s="22">
        <v>5</v>
      </c>
      <c r="U255" s="22">
        <f t="shared" si="6"/>
        <v>9200000</v>
      </c>
      <c r="V255" s="30" t="s">
        <v>1306</v>
      </c>
      <c r="W255" s="30" t="s">
        <v>1307</v>
      </c>
      <c r="X255" s="17" t="s">
        <v>1308</v>
      </c>
      <c r="Y255" s="17" t="s">
        <v>42</v>
      </c>
    </row>
    <row r="256" spans="1:25" ht="29.25" customHeight="1" x14ac:dyDescent="0.25">
      <c r="A256" s="17">
        <v>248</v>
      </c>
      <c r="B256" s="17">
        <v>75</v>
      </c>
      <c r="C256" s="17">
        <v>516</v>
      </c>
      <c r="D256" s="17">
        <v>464</v>
      </c>
      <c r="E256" s="30" t="s">
        <v>1309</v>
      </c>
      <c r="F256" s="27" t="s">
        <v>1310</v>
      </c>
      <c r="G256" s="17">
        <v>64</v>
      </c>
      <c r="H256" s="17" t="s">
        <v>1276</v>
      </c>
      <c r="I256" s="17" t="s">
        <v>1287</v>
      </c>
      <c r="J256" s="17">
        <v>7520207</v>
      </c>
      <c r="K256" s="17">
        <v>5</v>
      </c>
      <c r="L256" s="17" t="s">
        <v>930</v>
      </c>
      <c r="M256" s="17">
        <v>4</v>
      </c>
      <c r="N256" s="17">
        <v>5</v>
      </c>
      <c r="O256" s="17" t="s">
        <v>62</v>
      </c>
      <c r="P256" s="17" t="s">
        <v>38</v>
      </c>
      <c r="Q256" s="17" t="s">
        <v>69</v>
      </c>
      <c r="R256" s="22">
        <v>1840000</v>
      </c>
      <c r="S256" s="22">
        <f>R256</f>
        <v>1840000</v>
      </c>
      <c r="T256" s="22">
        <v>5</v>
      </c>
      <c r="U256" s="22">
        <f t="shared" si="6"/>
        <v>9200000</v>
      </c>
      <c r="V256" s="30" t="s">
        <v>1311</v>
      </c>
      <c r="W256" s="30" t="s">
        <v>1312</v>
      </c>
      <c r="X256" s="17" t="s">
        <v>1313</v>
      </c>
      <c r="Y256" s="17" t="s">
        <v>42</v>
      </c>
    </row>
    <row r="257" spans="1:25" ht="29.25" customHeight="1" x14ac:dyDescent="0.25">
      <c r="A257" s="17">
        <v>249</v>
      </c>
      <c r="B257" s="17">
        <v>76</v>
      </c>
      <c r="C257" s="17">
        <v>702</v>
      </c>
      <c r="D257" s="17">
        <v>650</v>
      </c>
      <c r="E257" s="43" t="s">
        <v>1314</v>
      </c>
      <c r="F257" s="19" t="s">
        <v>1315</v>
      </c>
      <c r="G257" s="20">
        <v>66</v>
      </c>
      <c r="H257" s="17" t="s">
        <v>950</v>
      </c>
      <c r="I257" s="20" t="s">
        <v>1287</v>
      </c>
      <c r="J257" s="20">
        <v>7520207</v>
      </c>
      <c r="K257" s="20">
        <v>5</v>
      </c>
      <c r="L257" s="20" t="s">
        <v>930</v>
      </c>
      <c r="M257" s="20">
        <v>4</v>
      </c>
      <c r="N257" s="20">
        <v>5</v>
      </c>
      <c r="O257" s="17" t="s">
        <v>47</v>
      </c>
      <c r="P257" s="17" t="s">
        <v>48</v>
      </c>
      <c r="Q257" s="20" t="s">
        <v>957</v>
      </c>
      <c r="R257" s="22">
        <v>1840000</v>
      </c>
      <c r="S257" s="22">
        <f>50%*R257</f>
        <v>920000</v>
      </c>
      <c r="T257" s="22">
        <v>5</v>
      </c>
      <c r="U257" s="22">
        <f t="shared" si="6"/>
        <v>4600000</v>
      </c>
      <c r="V257" s="23" t="s">
        <v>1316</v>
      </c>
      <c r="W257" s="23" t="s">
        <v>1317</v>
      </c>
      <c r="X257" s="44">
        <v>922334455667</v>
      </c>
      <c r="Y257" s="17" t="s">
        <v>102</v>
      </c>
    </row>
    <row r="258" spans="1:25" ht="29.25" customHeight="1" x14ac:dyDescent="0.25">
      <c r="A258" s="17">
        <v>250</v>
      </c>
      <c r="B258" s="17">
        <v>77</v>
      </c>
      <c r="C258" s="17">
        <v>393</v>
      </c>
      <c r="D258" s="17">
        <v>343</v>
      </c>
      <c r="E258" s="17" t="s">
        <v>1318</v>
      </c>
      <c r="F258" s="27" t="s">
        <v>1319</v>
      </c>
      <c r="G258" s="17">
        <v>63</v>
      </c>
      <c r="H258" s="17" t="s">
        <v>933</v>
      </c>
      <c r="I258" s="17" t="s">
        <v>1320</v>
      </c>
      <c r="J258" s="17">
        <v>7520216</v>
      </c>
      <c r="K258" s="17">
        <v>5</v>
      </c>
      <c r="L258" s="17" t="s">
        <v>930</v>
      </c>
      <c r="M258" s="17">
        <v>4</v>
      </c>
      <c r="N258" s="17">
        <v>5</v>
      </c>
      <c r="O258" s="17" t="s">
        <v>62</v>
      </c>
      <c r="P258" s="17" t="s">
        <v>38</v>
      </c>
      <c r="Q258" s="17" t="s">
        <v>69</v>
      </c>
      <c r="R258" s="22">
        <v>1840000</v>
      </c>
      <c r="S258" s="22">
        <f>R258</f>
        <v>1840000</v>
      </c>
      <c r="T258" s="22">
        <v>5</v>
      </c>
      <c r="U258" s="22">
        <f t="shared" si="6"/>
        <v>9200000</v>
      </c>
      <c r="V258" s="17">
        <v>187835444</v>
      </c>
      <c r="W258" s="17" t="s">
        <v>1321</v>
      </c>
      <c r="X258" s="17" t="s">
        <v>1322</v>
      </c>
      <c r="Y258" s="17" t="s">
        <v>52</v>
      </c>
    </row>
    <row r="259" spans="1:25" ht="29.25" customHeight="1" x14ac:dyDescent="0.25">
      <c r="A259" s="17">
        <v>251</v>
      </c>
      <c r="B259" s="17">
        <v>78</v>
      </c>
      <c r="C259" s="17">
        <v>394</v>
      </c>
      <c r="D259" s="17">
        <v>344</v>
      </c>
      <c r="E259" s="17" t="s">
        <v>1323</v>
      </c>
      <c r="F259" s="27" t="s">
        <v>1324</v>
      </c>
      <c r="G259" s="17">
        <v>63</v>
      </c>
      <c r="H259" s="17" t="s">
        <v>933</v>
      </c>
      <c r="I259" s="17" t="s">
        <v>1320</v>
      </c>
      <c r="J259" s="17">
        <v>7520216</v>
      </c>
      <c r="K259" s="17">
        <v>5</v>
      </c>
      <c r="L259" s="17" t="s">
        <v>930</v>
      </c>
      <c r="M259" s="17">
        <v>4</v>
      </c>
      <c r="N259" s="17">
        <v>5</v>
      </c>
      <c r="O259" s="17" t="s">
        <v>47</v>
      </c>
      <c r="P259" s="17" t="s">
        <v>48</v>
      </c>
      <c r="Q259" s="17"/>
      <c r="R259" s="22">
        <v>1840000</v>
      </c>
      <c r="S259" s="22">
        <f>50%*R259</f>
        <v>920000</v>
      </c>
      <c r="T259" s="22">
        <v>5</v>
      </c>
      <c r="U259" s="22">
        <f t="shared" si="6"/>
        <v>4600000</v>
      </c>
      <c r="V259" s="17" t="s">
        <v>1325</v>
      </c>
      <c r="W259" s="17" t="s">
        <v>1326</v>
      </c>
      <c r="X259" s="17" t="s">
        <v>1326</v>
      </c>
      <c r="Y259" s="17" t="s">
        <v>102</v>
      </c>
    </row>
    <row r="260" spans="1:25" ht="29.25" customHeight="1" x14ac:dyDescent="0.25">
      <c r="A260" s="17">
        <v>252</v>
      </c>
      <c r="B260" s="17">
        <v>79</v>
      </c>
      <c r="C260" s="17">
        <v>395</v>
      </c>
      <c r="D260" s="17">
        <v>345</v>
      </c>
      <c r="E260" s="17" t="s">
        <v>1327</v>
      </c>
      <c r="F260" s="27" t="s">
        <v>1328</v>
      </c>
      <c r="G260" s="17">
        <v>63</v>
      </c>
      <c r="H260" s="17" t="s">
        <v>1077</v>
      </c>
      <c r="I260" s="17" t="s">
        <v>1320</v>
      </c>
      <c r="J260" s="17">
        <v>7520216</v>
      </c>
      <c r="K260" s="17">
        <v>5</v>
      </c>
      <c r="L260" s="17" t="s">
        <v>930</v>
      </c>
      <c r="M260" s="17">
        <v>4</v>
      </c>
      <c r="N260" s="17">
        <v>5</v>
      </c>
      <c r="O260" s="17" t="s">
        <v>55</v>
      </c>
      <c r="P260" s="17" t="s">
        <v>38</v>
      </c>
      <c r="Q260" s="17"/>
      <c r="R260" s="22">
        <v>1840000</v>
      </c>
      <c r="S260" s="22">
        <f>R260</f>
        <v>1840000</v>
      </c>
      <c r="T260" s="22">
        <v>5</v>
      </c>
      <c r="U260" s="22">
        <f t="shared" si="6"/>
        <v>9200000</v>
      </c>
      <c r="V260" s="17" t="s">
        <v>1329</v>
      </c>
      <c r="W260" s="17" t="s">
        <v>1330</v>
      </c>
      <c r="X260" s="17" t="s">
        <v>1331</v>
      </c>
      <c r="Y260" s="17" t="s">
        <v>102</v>
      </c>
    </row>
    <row r="261" spans="1:25" ht="29.25" customHeight="1" x14ac:dyDescent="0.25">
      <c r="A261" s="17">
        <v>253</v>
      </c>
      <c r="B261" s="17">
        <v>80</v>
      </c>
      <c r="C261" s="17">
        <v>443</v>
      </c>
      <c r="D261" s="17">
        <v>392</v>
      </c>
      <c r="E261" s="17" t="s">
        <v>1332</v>
      </c>
      <c r="F261" s="27" t="s">
        <v>1333</v>
      </c>
      <c r="G261" s="17">
        <v>63</v>
      </c>
      <c r="H261" s="17" t="s">
        <v>933</v>
      </c>
      <c r="I261" s="17" t="s">
        <v>1320</v>
      </c>
      <c r="J261" s="17">
        <v>7520216</v>
      </c>
      <c r="K261" s="17">
        <v>5</v>
      </c>
      <c r="L261" s="17" t="s">
        <v>930</v>
      </c>
      <c r="M261" s="17">
        <v>4</v>
      </c>
      <c r="N261" s="17">
        <v>5</v>
      </c>
      <c r="O261" s="17" t="s">
        <v>62</v>
      </c>
      <c r="P261" s="17" t="s">
        <v>38</v>
      </c>
      <c r="Q261" s="17" t="s">
        <v>69</v>
      </c>
      <c r="R261" s="22">
        <v>1840000</v>
      </c>
      <c r="S261" s="22">
        <f>R261</f>
        <v>1840000</v>
      </c>
      <c r="T261" s="22">
        <v>5</v>
      </c>
      <c r="U261" s="22">
        <f t="shared" si="6"/>
        <v>9200000</v>
      </c>
      <c r="V261" s="17" t="s">
        <v>1334</v>
      </c>
      <c r="W261" s="17" t="s">
        <v>1335</v>
      </c>
      <c r="X261" s="30" t="s">
        <v>1336</v>
      </c>
      <c r="Y261" s="17" t="s">
        <v>52</v>
      </c>
    </row>
    <row r="262" spans="1:25" ht="29.25" customHeight="1" x14ac:dyDescent="0.25">
      <c r="A262" s="17">
        <v>254</v>
      </c>
      <c r="B262" s="17">
        <v>81</v>
      </c>
      <c r="C262" s="17">
        <v>446</v>
      </c>
      <c r="D262" s="17">
        <v>395</v>
      </c>
      <c r="E262" s="52" t="s">
        <v>1337</v>
      </c>
      <c r="F262" s="27" t="s">
        <v>1338</v>
      </c>
      <c r="G262" s="17">
        <v>63</v>
      </c>
      <c r="H262" s="17" t="s">
        <v>1077</v>
      </c>
      <c r="I262" s="17" t="s">
        <v>1320</v>
      </c>
      <c r="J262" s="17">
        <v>7520216</v>
      </c>
      <c r="K262" s="17">
        <v>5</v>
      </c>
      <c r="L262" s="17" t="s">
        <v>930</v>
      </c>
      <c r="M262" s="17">
        <v>4</v>
      </c>
      <c r="N262" s="17">
        <v>5</v>
      </c>
      <c r="O262" s="17" t="s">
        <v>62</v>
      </c>
      <c r="P262" s="17" t="s">
        <v>38</v>
      </c>
      <c r="Q262" s="17" t="s">
        <v>69</v>
      </c>
      <c r="R262" s="22">
        <v>1840000</v>
      </c>
      <c r="S262" s="22">
        <f>R262</f>
        <v>1840000</v>
      </c>
      <c r="T262" s="22">
        <v>5</v>
      </c>
      <c r="U262" s="22">
        <f t="shared" si="6"/>
        <v>9200000</v>
      </c>
      <c r="V262" s="30" t="s">
        <v>1339</v>
      </c>
      <c r="W262" s="30" t="s">
        <v>1340</v>
      </c>
      <c r="X262" s="30" t="s">
        <v>1341</v>
      </c>
      <c r="Y262" s="17" t="s">
        <v>52</v>
      </c>
    </row>
    <row r="263" spans="1:25" ht="29.25" customHeight="1" x14ac:dyDescent="0.25">
      <c r="A263" s="17">
        <v>255</v>
      </c>
      <c r="B263" s="17">
        <v>82</v>
      </c>
      <c r="C263" s="17">
        <v>561</v>
      </c>
      <c r="D263" s="17">
        <v>509</v>
      </c>
      <c r="E263" s="30" t="s">
        <v>1342</v>
      </c>
      <c r="F263" s="27" t="s">
        <v>1343</v>
      </c>
      <c r="G263" s="17">
        <v>63</v>
      </c>
      <c r="H263" s="17" t="s">
        <v>933</v>
      </c>
      <c r="I263" s="17" t="s">
        <v>1320</v>
      </c>
      <c r="J263" s="17">
        <v>7520216</v>
      </c>
      <c r="K263" s="17">
        <v>5</v>
      </c>
      <c r="L263" s="17" t="s">
        <v>930</v>
      </c>
      <c r="M263" s="17">
        <v>4</v>
      </c>
      <c r="N263" s="17">
        <v>5</v>
      </c>
      <c r="O263" s="17" t="s">
        <v>116</v>
      </c>
      <c r="P263" s="17" t="s">
        <v>38</v>
      </c>
      <c r="Q263" s="17"/>
      <c r="R263" s="22">
        <v>1840000</v>
      </c>
      <c r="S263" s="22">
        <f>R263</f>
        <v>1840000</v>
      </c>
      <c r="T263" s="22">
        <v>5</v>
      </c>
      <c r="U263" s="22">
        <f t="shared" si="6"/>
        <v>9200000</v>
      </c>
      <c r="V263" s="17">
        <v>40204017146</v>
      </c>
      <c r="W263" s="17">
        <v>984984896</v>
      </c>
      <c r="X263" s="30" t="s">
        <v>1344</v>
      </c>
      <c r="Y263" s="17" t="s">
        <v>52</v>
      </c>
    </row>
    <row r="264" spans="1:25" ht="29.25" customHeight="1" x14ac:dyDescent="0.25">
      <c r="A264" s="17">
        <v>256</v>
      </c>
      <c r="B264" s="17">
        <v>83</v>
      </c>
      <c r="C264" s="38">
        <v>670</v>
      </c>
      <c r="D264" s="38">
        <v>618</v>
      </c>
      <c r="E264" s="30" t="s">
        <v>1345</v>
      </c>
      <c r="F264" s="39" t="s">
        <v>1346</v>
      </c>
      <c r="G264" s="38">
        <v>63</v>
      </c>
      <c r="H264" s="38" t="s">
        <v>1260</v>
      </c>
      <c r="I264" s="17" t="s">
        <v>1320</v>
      </c>
      <c r="J264" s="17">
        <v>7520216</v>
      </c>
      <c r="K264" s="17">
        <v>5</v>
      </c>
      <c r="L264" s="17" t="s">
        <v>930</v>
      </c>
      <c r="M264" s="38">
        <v>4</v>
      </c>
      <c r="N264" s="17">
        <v>5</v>
      </c>
      <c r="O264" s="17" t="s">
        <v>47</v>
      </c>
      <c r="P264" s="17" t="s">
        <v>48</v>
      </c>
      <c r="Q264" s="17"/>
      <c r="R264" s="22">
        <v>1840000</v>
      </c>
      <c r="S264" s="22">
        <f>50%*R264</f>
        <v>920000</v>
      </c>
      <c r="T264" s="22">
        <v>5</v>
      </c>
      <c r="U264" s="22">
        <f t="shared" si="6"/>
        <v>4600000</v>
      </c>
      <c r="V264" s="49" t="s">
        <v>1347</v>
      </c>
      <c r="W264" s="49" t="s">
        <v>1348</v>
      </c>
      <c r="X264" s="38">
        <v>5150725323</v>
      </c>
      <c r="Y264" s="38" t="s">
        <v>42</v>
      </c>
    </row>
    <row r="265" spans="1:25" ht="29.25" customHeight="1" x14ac:dyDescent="0.25">
      <c r="A265" s="17">
        <v>257</v>
      </c>
      <c r="B265" s="17">
        <v>84</v>
      </c>
      <c r="C265" s="38">
        <v>679</v>
      </c>
      <c r="D265" s="38">
        <v>627</v>
      </c>
      <c r="E265" s="32" t="s">
        <v>1349</v>
      </c>
      <c r="F265" s="39" t="s">
        <v>1350</v>
      </c>
      <c r="G265" s="38">
        <v>63</v>
      </c>
      <c r="H265" s="17" t="s">
        <v>1077</v>
      </c>
      <c r="I265" s="17" t="s">
        <v>1320</v>
      </c>
      <c r="J265" s="17">
        <v>7520216</v>
      </c>
      <c r="K265" s="17">
        <v>5</v>
      </c>
      <c r="L265" s="17" t="s">
        <v>930</v>
      </c>
      <c r="M265" s="17">
        <v>4</v>
      </c>
      <c r="N265" s="17">
        <v>5</v>
      </c>
      <c r="O265" s="17" t="s">
        <v>75</v>
      </c>
      <c r="P265" s="17" t="s">
        <v>76</v>
      </c>
      <c r="Q265" s="17" t="s">
        <v>69</v>
      </c>
      <c r="R265" s="22">
        <v>1840000</v>
      </c>
      <c r="S265" s="22">
        <f>R265*70%</f>
        <v>1288000</v>
      </c>
      <c r="T265" s="22">
        <v>5</v>
      </c>
      <c r="U265" s="22">
        <f t="shared" ref="U265:U328" si="7">S265*T265</f>
        <v>6440000</v>
      </c>
      <c r="V265" s="30" t="s">
        <v>1351</v>
      </c>
      <c r="W265" s="30" t="s">
        <v>1352</v>
      </c>
      <c r="X265" s="30" t="s">
        <v>1353</v>
      </c>
      <c r="Y265" s="17" t="s">
        <v>102</v>
      </c>
    </row>
    <row r="266" spans="1:25" ht="29.25" customHeight="1" x14ac:dyDescent="0.25">
      <c r="A266" s="17">
        <v>258</v>
      </c>
      <c r="B266" s="17">
        <v>85</v>
      </c>
      <c r="C266" s="17">
        <v>513</v>
      </c>
      <c r="D266" s="17">
        <v>461</v>
      </c>
      <c r="E266" s="52" t="s">
        <v>1354</v>
      </c>
      <c r="F266" s="27" t="s">
        <v>1355</v>
      </c>
      <c r="G266" s="17">
        <v>64</v>
      </c>
      <c r="H266" s="17" t="s">
        <v>988</v>
      </c>
      <c r="I266" s="17" t="s">
        <v>1320</v>
      </c>
      <c r="J266" s="17">
        <v>7520216</v>
      </c>
      <c r="K266" s="17">
        <v>5</v>
      </c>
      <c r="L266" s="17" t="s">
        <v>930</v>
      </c>
      <c r="M266" s="17">
        <v>4</v>
      </c>
      <c r="N266" s="17">
        <v>5</v>
      </c>
      <c r="O266" s="17" t="s">
        <v>47</v>
      </c>
      <c r="P266" s="17" t="s">
        <v>48</v>
      </c>
      <c r="Q266" s="17"/>
      <c r="R266" s="22">
        <v>1840000</v>
      </c>
      <c r="S266" s="22">
        <f>50%*R266</f>
        <v>920000</v>
      </c>
      <c r="T266" s="22">
        <v>5</v>
      </c>
      <c r="U266" s="22">
        <f t="shared" si="7"/>
        <v>4600000</v>
      </c>
      <c r="V266" s="30" t="s">
        <v>1356</v>
      </c>
      <c r="W266" s="30" t="s">
        <v>1357</v>
      </c>
      <c r="X266" s="17" t="s">
        <v>1358</v>
      </c>
      <c r="Y266" s="17" t="s">
        <v>42</v>
      </c>
    </row>
    <row r="267" spans="1:25" ht="29.25" customHeight="1" x14ac:dyDescent="0.25">
      <c r="A267" s="17">
        <v>259</v>
      </c>
      <c r="B267" s="17">
        <v>86</v>
      </c>
      <c r="C267" s="17">
        <v>628</v>
      </c>
      <c r="D267" s="17">
        <v>576</v>
      </c>
      <c r="E267" s="52" t="s">
        <v>1359</v>
      </c>
      <c r="F267" s="27" t="s">
        <v>1360</v>
      </c>
      <c r="G267" s="17">
        <v>65</v>
      </c>
      <c r="H267" s="17" t="s">
        <v>928</v>
      </c>
      <c r="I267" s="17" t="s">
        <v>1320</v>
      </c>
      <c r="J267" s="17">
        <v>7520216</v>
      </c>
      <c r="K267" s="17">
        <v>5</v>
      </c>
      <c r="L267" s="17" t="s">
        <v>930</v>
      </c>
      <c r="M267" s="17">
        <v>4</v>
      </c>
      <c r="N267" s="17">
        <v>5</v>
      </c>
      <c r="O267" s="17" t="s">
        <v>47</v>
      </c>
      <c r="P267" s="17" t="s">
        <v>48</v>
      </c>
      <c r="Q267" s="17"/>
      <c r="R267" s="22">
        <v>1840000</v>
      </c>
      <c r="S267" s="22">
        <f>50%*R267</f>
        <v>920000</v>
      </c>
      <c r="T267" s="22">
        <v>5</v>
      </c>
      <c r="U267" s="22">
        <f t="shared" si="7"/>
        <v>4600000</v>
      </c>
      <c r="V267" s="17">
        <v>42206001776</v>
      </c>
      <c r="W267" s="17">
        <v>386754706</v>
      </c>
      <c r="X267" s="30" t="s">
        <v>1361</v>
      </c>
      <c r="Y267" s="17" t="s">
        <v>1362</v>
      </c>
    </row>
    <row r="268" spans="1:25" ht="29.25" customHeight="1" x14ac:dyDescent="0.25">
      <c r="A268" s="17">
        <v>260</v>
      </c>
      <c r="B268" s="17">
        <v>87</v>
      </c>
      <c r="C268" s="17">
        <v>629</v>
      </c>
      <c r="D268" s="17">
        <v>577</v>
      </c>
      <c r="E268" s="52" t="s">
        <v>1363</v>
      </c>
      <c r="F268" s="27" t="s">
        <v>1364</v>
      </c>
      <c r="G268" s="17">
        <v>65</v>
      </c>
      <c r="H268" s="17" t="s">
        <v>928</v>
      </c>
      <c r="I268" s="17" t="s">
        <v>1320</v>
      </c>
      <c r="J268" s="17">
        <v>7520216</v>
      </c>
      <c r="K268" s="17">
        <v>5</v>
      </c>
      <c r="L268" s="17" t="s">
        <v>930</v>
      </c>
      <c r="M268" s="17">
        <v>4</v>
      </c>
      <c r="N268" s="17">
        <v>5</v>
      </c>
      <c r="O268" s="17" t="s">
        <v>75</v>
      </c>
      <c r="P268" s="17" t="s">
        <v>76</v>
      </c>
      <c r="Q268" s="17" t="s">
        <v>69</v>
      </c>
      <c r="R268" s="22">
        <v>1840000</v>
      </c>
      <c r="S268" s="22">
        <f>R268*70%</f>
        <v>1288000</v>
      </c>
      <c r="T268" s="22">
        <v>5</v>
      </c>
      <c r="U268" s="22">
        <f t="shared" si="7"/>
        <v>6440000</v>
      </c>
      <c r="V268" s="30" t="s">
        <v>1365</v>
      </c>
      <c r="W268" s="30" t="s">
        <v>1366</v>
      </c>
      <c r="X268" s="30" t="s">
        <v>1367</v>
      </c>
      <c r="Y268" s="17" t="s">
        <v>449</v>
      </c>
    </row>
    <row r="269" spans="1:25" ht="29.25" customHeight="1" x14ac:dyDescent="0.25">
      <c r="A269" s="17">
        <v>261</v>
      </c>
      <c r="B269" s="17">
        <v>88</v>
      </c>
      <c r="C269" s="17">
        <v>632</v>
      </c>
      <c r="D269" s="17">
        <v>580</v>
      </c>
      <c r="E269" s="52" t="s">
        <v>1368</v>
      </c>
      <c r="F269" s="27" t="s">
        <v>1369</v>
      </c>
      <c r="G269" s="17">
        <v>65</v>
      </c>
      <c r="H269" s="17" t="s">
        <v>1198</v>
      </c>
      <c r="I269" s="17" t="s">
        <v>1320</v>
      </c>
      <c r="J269" s="17">
        <v>7520216</v>
      </c>
      <c r="K269" s="17">
        <v>5</v>
      </c>
      <c r="L269" s="17" t="s">
        <v>930</v>
      </c>
      <c r="M269" s="17">
        <v>4</v>
      </c>
      <c r="N269" s="17">
        <v>5</v>
      </c>
      <c r="O269" s="17" t="s">
        <v>116</v>
      </c>
      <c r="P269" s="17" t="s">
        <v>38</v>
      </c>
      <c r="Q269" s="17"/>
      <c r="R269" s="22">
        <v>1840000</v>
      </c>
      <c r="S269" s="22">
        <f>R269</f>
        <v>1840000</v>
      </c>
      <c r="T269" s="22">
        <v>5</v>
      </c>
      <c r="U269" s="22">
        <f t="shared" si="7"/>
        <v>9200000</v>
      </c>
      <c r="V269" s="17">
        <v>40206019301</v>
      </c>
      <c r="W269" s="17">
        <v>335230145</v>
      </c>
      <c r="X269" s="17">
        <v>1028240185</v>
      </c>
      <c r="Y269" s="17" t="s">
        <v>310</v>
      </c>
    </row>
    <row r="270" spans="1:25" ht="29.25" customHeight="1" x14ac:dyDescent="0.25">
      <c r="A270" s="17">
        <v>262</v>
      </c>
      <c r="B270" s="17">
        <v>89</v>
      </c>
      <c r="C270" s="17">
        <v>701</v>
      </c>
      <c r="D270" s="17">
        <v>649</v>
      </c>
      <c r="E270" s="43" t="s">
        <v>1370</v>
      </c>
      <c r="F270" s="39" t="s">
        <v>1371</v>
      </c>
      <c r="G270" s="20">
        <v>66</v>
      </c>
      <c r="H270" s="17" t="s">
        <v>956</v>
      </c>
      <c r="I270" s="20" t="s">
        <v>1320</v>
      </c>
      <c r="J270" s="20">
        <v>7520216</v>
      </c>
      <c r="K270" s="20">
        <v>5</v>
      </c>
      <c r="L270" s="20" t="s">
        <v>930</v>
      </c>
      <c r="M270" s="20">
        <v>4</v>
      </c>
      <c r="N270" s="20">
        <v>5</v>
      </c>
      <c r="O270" s="17" t="s">
        <v>47</v>
      </c>
      <c r="P270" s="17" t="s">
        <v>48</v>
      </c>
      <c r="Q270" s="20" t="s">
        <v>957</v>
      </c>
      <c r="R270" s="22">
        <v>1840000</v>
      </c>
      <c r="S270" s="22">
        <f>50%*R270</f>
        <v>920000</v>
      </c>
      <c r="T270" s="22">
        <v>5</v>
      </c>
      <c r="U270" s="22">
        <f t="shared" si="7"/>
        <v>4600000</v>
      </c>
      <c r="V270" s="23" t="s">
        <v>1372</v>
      </c>
      <c r="W270" s="23" t="s">
        <v>1373</v>
      </c>
      <c r="X270" s="44">
        <v>19075032095012</v>
      </c>
      <c r="Y270" s="17" t="s">
        <v>349</v>
      </c>
    </row>
    <row r="271" spans="1:25" ht="29.25" customHeight="1" x14ac:dyDescent="0.25">
      <c r="A271" s="17">
        <v>263</v>
      </c>
      <c r="B271" s="17">
        <v>90</v>
      </c>
      <c r="C271" s="17">
        <v>184</v>
      </c>
      <c r="D271" s="17">
        <v>275</v>
      </c>
      <c r="E271" s="17" t="s">
        <v>1374</v>
      </c>
      <c r="F271" s="27" t="s">
        <v>1375</v>
      </c>
      <c r="G271" s="17">
        <v>62</v>
      </c>
      <c r="H271" s="17" t="s">
        <v>1376</v>
      </c>
      <c r="I271" s="17" t="s">
        <v>1377</v>
      </c>
      <c r="J271" s="17">
        <v>7480103</v>
      </c>
      <c r="K271" s="17">
        <v>5</v>
      </c>
      <c r="L271" s="17" t="s">
        <v>930</v>
      </c>
      <c r="M271" s="17">
        <v>4</v>
      </c>
      <c r="N271" s="17">
        <v>5</v>
      </c>
      <c r="O271" s="17" t="s">
        <v>116</v>
      </c>
      <c r="P271" s="17" t="s">
        <v>38</v>
      </c>
      <c r="Q271" s="17"/>
      <c r="R271" s="22">
        <v>1840000</v>
      </c>
      <c r="S271" s="22">
        <f>R271</f>
        <v>1840000</v>
      </c>
      <c r="T271" s="22">
        <v>5</v>
      </c>
      <c r="U271" s="22">
        <f t="shared" si="7"/>
        <v>9200000</v>
      </c>
      <c r="V271" s="17" t="s">
        <v>1378</v>
      </c>
      <c r="W271" s="17" t="s">
        <v>1379</v>
      </c>
      <c r="X271" s="17" t="s">
        <v>1380</v>
      </c>
      <c r="Y271" s="17" t="s">
        <v>52</v>
      </c>
    </row>
    <row r="272" spans="1:25" ht="29.25" customHeight="1" x14ac:dyDescent="0.25">
      <c r="A272" s="17">
        <v>264</v>
      </c>
      <c r="B272" s="17">
        <v>91</v>
      </c>
      <c r="C272" s="17">
        <v>193</v>
      </c>
      <c r="D272" s="17">
        <v>282</v>
      </c>
      <c r="E272" s="17" t="s">
        <v>1381</v>
      </c>
      <c r="F272" s="27" t="s">
        <v>1178</v>
      </c>
      <c r="G272" s="17">
        <v>62</v>
      </c>
      <c r="H272" s="17" t="s">
        <v>1376</v>
      </c>
      <c r="I272" s="17" t="s">
        <v>1377</v>
      </c>
      <c r="J272" s="17">
        <v>7480103</v>
      </c>
      <c r="K272" s="17">
        <v>5</v>
      </c>
      <c r="L272" s="17" t="s">
        <v>930</v>
      </c>
      <c r="M272" s="17">
        <v>4</v>
      </c>
      <c r="N272" s="17">
        <v>5</v>
      </c>
      <c r="O272" s="17" t="s">
        <v>116</v>
      </c>
      <c r="P272" s="17" t="s">
        <v>38</v>
      </c>
      <c r="Q272" s="17"/>
      <c r="R272" s="22">
        <v>1840000</v>
      </c>
      <c r="S272" s="22">
        <f>R272</f>
        <v>1840000</v>
      </c>
      <c r="T272" s="22">
        <v>5</v>
      </c>
      <c r="U272" s="22">
        <f t="shared" si="7"/>
        <v>9200000</v>
      </c>
      <c r="V272" s="17" t="s">
        <v>1382</v>
      </c>
      <c r="W272" s="17" t="s">
        <v>1383</v>
      </c>
      <c r="X272" s="17" t="s">
        <v>1384</v>
      </c>
      <c r="Y272" s="17" t="s">
        <v>52</v>
      </c>
    </row>
    <row r="273" spans="1:25" ht="29.25" customHeight="1" x14ac:dyDescent="0.25">
      <c r="A273" s="17">
        <v>265</v>
      </c>
      <c r="B273" s="17">
        <v>92</v>
      </c>
      <c r="C273" s="17">
        <v>385</v>
      </c>
      <c r="D273" s="17">
        <v>335</v>
      </c>
      <c r="E273" s="17" t="s">
        <v>1385</v>
      </c>
      <c r="F273" s="27" t="s">
        <v>1386</v>
      </c>
      <c r="G273" s="17">
        <v>63</v>
      </c>
      <c r="H273" s="17" t="s">
        <v>1260</v>
      </c>
      <c r="I273" s="17" t="s">
        <v>1387</v>
      </c>
      <c r="J273" s="17">
        <v>7480101</v>
      </c>
      <c r="K273" s="17">
        <v>5</v>
      </c>
      <c r="L273" s="17" t="s">
        <v>930</v>
      </c>
      <c r="M273" s="17">
        <v>4</v>
      </c>
      <c r="N273" s="17">
        <v>5</v>
      </c>
      <c r="O273" s="17" t="s">
        <v>75</v>
      </c>
      <c r="P273" s="17" t="s">
        <v>76</v>
      </c>
      <c r="Q273" s="17" t="s">
        <v>69</v>
      </c>
      <c r="R273" s="22">
        <v>1840000</v>
      </c>
      <c r="S273" s="22">
        <f>R273*70%</f>
        <v>1288000</v>
      </c>
      <c r="T273" s="22">
        <v>5</v>
      </c>
      <c r="U273" s="22">
        <f t="shared" si="7"/>
        <v>6440000</v>
      </c>
      <c r="V273" s="17" t="s">
        <v>1388</v>
      </c>
      <c r="W273" s="17" t="s">
        <v>1389</v>
      </c>
      <c r="X273" s="17" t="s">
        <v>1390</v>
      </c>
      <c r="Y273" s="17" t="s">
        <v>52</v>
      </c>
    </row>
    <row r="274" spans="1:25" ht="29.25" customHeight="1" x14ac:dyDescent="0.25">
      <c r="A274" s="17">
        <v>266</v>
      </c>
      <c r="B274" s="17">
        <v>93</v>
      </c>
      <c r="C274" s="17">
        <v>386</v>
      </c>
      <c r="D274" s="17">
        <v>336</v>
      </c>
      <c r="E274" s="17" t="s">
        <v>1391</v>
      </c>
      <c r="F274" s="27" t="s">
        <v>1392</v>
      </c>
      <c r="G274" s="17">
        <v>63</v>
      </c>
      <c r="H274" s="17" t="s">
        <v>1260</v>
      </c>
      <c r="I274" s="17" t="s">
        <v>1387</v>
      </c>
      <c r="J274" s="17">
        <v>7480101</v>
      </c>
      <c r="K274" s="17">
        <v>5</v>
      </c>
      <c r="L274" s="17" t="s">
        <v>930</v>
      </c>
      <c r="M274" s="17">
        <v>4</v>
      </c>
      <c r="N274" s="17">
        <v>5</v>
      </c>
      <c r="O274" s="17" t="s">
        <v>116</v>
      </c>
      <c r="P274" s="17" t="s">
        <v>38</v>
      </c>
      <c r="Q274" s="17"/>
      <c r="R274" s="22">
        <v>1840000</v>
      </c>
      <c r="S274" s="22">
        <f>R274</f>
        <v>1840000</v>
      </c>
      <c r="T274" s="22">
        <v>5</v>
      </c>
      <c r="U274" s="22">
        <f t="shared" si="7"/>
        <v>9200000</v>
      </c>
      <c r="V274" s="17" t="s">
        <v>1393</v>
      </c>
      <c r="W274" s="17" t="s">
        <v>1394</v>
      </c>
      <c r="X274" s="17" t="s">
        <v>1395</v>
      </c>
      <c r="Y274" s="17" t="s">
        <v>52</v>
      </c>
    </row>
    <row r="275" spans="1:25" ht="29.25" customHeight="1" x14ac:dyDescent="0.25">
      <c r="A275" s="17">
        <v>267</v>
      </c>
      <c r="B275" s="17">
        <v>94</v>
      </c>
      <c r="C275" s="17">
        <v>508</v>
      </c>
      <c r="D275" s="17">
        <v>456</v>
      </c>
      <c r="E275" s="30" t="s">
        <v>1396</v>
      </c>
      <c r="F275" s="27" t="s">
        <v>1397</v>
      </c>
      <c r="G275" s="17">
        <v>64</v>
      </c>
      <c r="H275" s="17" t="s">
        <v>1276</v>
      </c>
      <c r="I275" s="17" t="s">
        <v>1387</v>
      </c>
      <c r="J275" s="17">
        <v>7480101</v>
      </c>
      <c r="K275" s="17">
        <v>5</v>
      </c>
      <c r="L275" s="17" t="s">
        <v>930</v>
      </c>
      <c r="M275" s="17">
        <v>4</v>
      </c>
      <c r="N275" s="17">
        <v>5</v>
      </c>
      <c r="O275" s="17" t="s">
        <v>116</v>
      </c>
      <c r="P275" s="17" t="s">
        <v>38</v>
      </c>
      <c r="Q275" s="17"/>
      <c r="R275" s="22">
        <v>1840000</v>
      </c>
      <c r="S275" s="22">
        <f>R275</f>
        <v>1840000</v>
      </c>
      <c r="T275" s="22">
        <v>5</v>
      </c>
      <c r="U275" s="22">
        <f t="shared" si="7"/>
        <v>9200000</v>
      </c>
      <c r="V275" s="30" t="s">
        <v>1398</v>
      </c>
      <c r="W275" s="30" t="s">
        <v>1399</v>
      </c>
      <c r="X275" s="17" t="s">
        <v>1400</v>
      </c>
      <c r="Y275" s="17" t="s">
        <v>42</v>
      </c>
    </row>
    <row r="276" spans="1:25" ht="29.25" customHeight="1" x14ac:dyDescent="0.25">
      <c r="A276" s="17">
        <v>268</v>
      </c>
      <c r="B276" s="17">
        <v>95</v>
      </c>
      <c r="C276" s="17">
        <v>564</v>
      </c>
      <c r="D276" s="17">
        <v>497</v>
      </c>
      <c r="E276" s="30" t="s">
        <v>1401</v>
      </c>
      <c r="F276" s="27" t="s">
        <v>1402</v>
      </c>
      <c r="G276" s="17">
        <v>64</v>
      </c>
      <c r="H276" s="17" t="s">
        <v>1276</v>
      </c>
      <c r="I276" s="17" t="s">
        <v>1387</v>
      </c>
      <c r="J276" s="17">
        <v>7480101</v>
      </c>
      <c r="K276" s="17">
        <v>5</v>
      </c>
      <c r="L276" s="17" t="s">
        <v>930</v>
      </c>
      <c r="M276" s="17">
        <v>4</v>
      </c>
      <c r="N276" s="17">
        <v>5</v>
      </c>
      <c r="O276" s="17" t="s">
        <v>75</v>
      </c>
      <c r="P276" s="17" t="s">
        <v>76</v>
      </c>
      <c r="Q276" s="17" t="s">
        <v>69</v>
      </c>
      <c r="R276" s="22">
        <v>1840000</v>
      </c>
      <c r="S276" s="22">
        <f>R276*70%</f>
        <v>1288000</v>
      </c>
      <c r="T276" s="22">
        <v>5</v>
      </c>
      <c r="U276" s="22">
        <f t="shared" si="7"/>
        <v>6440000</v>
      </c>
      <c r="V276" s="30" t="s">
        <v>1403</v>
      </c>
      <c r="W276" s="30" t="s">
        <v>1404</v>
      </c>
      <c r="X276" s="17" t="s">
        <v>1405</v>
      </c>
      <c r="Y276" s="17" t="s">
        <v>42</v>
      </c>
    </row>
    <row r="277" spans="1:25" ht="29.25" customHeight="1" x14ac:dyDescent="0.25">
      <c r="A277" s="17">
        <v>269</v>
      </c>
      <c r="B277" s="17">
        <v>96</v>
      </c>
      <c r="C277" s="17">
        <v>611</v>
      </c>
      <c r="D277" s="17">
        <v>559</v>
      </c>
      <c r="E277" s="32" t="s">
        <v>1406</v>
      </c>
      <c r="F277" s="27" t="s">
        <v>1407</v>
      </c>
      <c r="G277" s="17">
        <v>64</v>
      </c>
      <c r="H277" s="17" t="s">
        <v>1276</v>
      </c>
      <c r="I277" s="17" t="s">
        <v>1387</v>
      </c>
      <c r="J277" s="17">
        <v>7480101</v>
      </c>
      <c r="K277" s="17">
        <v>5</v>
      </c>
      <c r="L277" s="17" t="s">
        <v>930</v>
      </c>
      <c r="M277" s="17">
        <v>4</v>
      </c>
      <c r="N277" s="17">
        <v>5</v>
      </c>
      <c r="O277" s="17" t="s">
        <v>75</v>
      </c>
      <c r="P277" s="17" t="s">
        <v>76</v>
      </c>
      <c r="Q277" s="17" t="s">
        <v>69</v>
      </c>
      <c r="R277" s="22">
        <v>1840000</v>
      </c>
      <c r="S277" s="22">
        <f>R277*70%</f>
        <v>1288000</v>
      </c>
      <c r="T277" s="22">
        <v>5</v>
      </c>
      <c r="U277" s="22">
        <f t="shared" si="7"/>
        <v>6440000</v>
      </c>
      <c r="V277" s="30" t="s">
        <v>1408</v>
      </c>
      <c r="W277" s="30" t="s">
        <v>1409</v>
      </c>
      <c r="X277" s="30" t="s">
        <v>1410</v>
      </c>
      <c r="Y277" s="17" t="s">
        <v>42</v>
      </c>
    </row>
    <row r="278" spans="1:25" ht="29.25" customHeight="1" x14ac:dyDescent="0.25">
      <c r="A278" s="17">
        <v>270</v>
      </c>
      <c r="B278" s="17">
        <v>97</v>
      </c>
      <c r="C278" s="17">
        <v>690</v>
      </c>
      <c r="D278" s="17">
        <v>638</v>
      </c>
      <c r="E278" s="23" t="s">
        <v>1411</v>
      </c>
      <c r="F278" s="19" t="s">
        <v>1412</v>
      </c>
      <c r="G278" s="20">
        <v>66</v>
      </c>
      <c r="H278" s="20" t="s">
        <v>1247</v>
      </c>
      <c r="I278" s="20" t="s">
        <v>1387</v>
      </c>
      <c r="J278" s="20">
        <v>7480101</v>
      </c>
      <c r="K278" s="20">
        <v>5</v>
      </c>
      <c r="L278" s="20" t="s">
        <v>930</v>
      </c>
      <c r="M278" s="20">
        <v>4</v>
      </c>
      <c r="N278" s="20">
        <v>5</v>
      </c>
      <c r="O278" s="17" t="s">
        <v>116</v>
      </c>
      <c r="P278" s="20" t="s">
        <v>38</v>
      </c>
      <c r="Q278" s="20"/>
      <c r="R278" s="22">
        <v>1840000</v>
      </c>
      <c r="S278" s="22">
        <f t="shared" ref="S278:S283" si="8">R278</f>
        <v>1840000</v>
      </c>
      <c r="T278" s="22">
        <v>5</v>
      </c>
      <c r="U278" s="22">
        <f t="shared" si="7"/>
        <v>9200000</v>
      </c>
      <c r="V278" s="23" t="s">
        <v>1413</v>
      </c>
      <c r="W278" s="23" t="s">
        <v>1414</v>
      </c>
      <c r="X278" s="23" t="s">
        <v>1415</v>
      </c>
      <c r="Y278" s="17" t="s">
        <v>310</v>
      </c>
    </row>
    <row r="279" spans="1:25" ht="29.25" customHeight="1" x14ac:dyDescent="0.25">
      <c r="A279" s="17">
        <v>271</v>
      </c>
      <c r="B279" s="17">
        <v>98</v>
      </c>
      <c r="C279" s="17">
        <v>691</v>
      </c>
      <c r="D279" s="17">
        <v>639</v>
      </c>
      <c r="E279" s="23" t="s">
        <v>1416</v>
      </c>
      <c r="F279" s="19" t="s">
        <v>1417</v>
      </c>
      <c r="G279" s="20">
        <v>66</v>
      </c>
      <c r="H279" s="20" t="s">
        <v>1247</v>
      </c>
      <c r="I279" s="20" t="s">
        <v>1387</v>
      </c>
      <c r="J279" s="20">
        <v>7480101</v>
      </c>
      <c r="K279" s="20">
        <v>5</v>
      </c>
      <c r="L279" s="20" t="s">
        <v>930</v>
      </c>
      <c r="M279" s="20">
        <v>4</v>
      </c>
      <c r="N279" s="20">
        <v>5</v>
      </c>
      <c r="O279" s="20" t="s">
        <v>62</v>
      </c>
      <c r="P279" s="20" t="s">
        <v>38</v>
      </c>
      <c r="Q279" s="20" t="s">
        <v>69</v>
      </c>
      <c r="R279" s="22">
        <v>1840000</v>
      </c>
      <c r="S279" s="22">
        <f t="shared" si="8"/>
        <v>1840000</v>
      </c>
      <c r="T279" s="22">
        <v>5</v>
      </c>
      <c r="U279" s="22">
        <f t="shared" si="7"/>
        <v>9200000</v>
      </c>
      <c r="V279" s="23" t="s">
        <v>1418</v>
      </c>
      <c r="W279" s="23" t="s">
        <v>1419</v>
      </c>
      <c r="X279" s="23" t="s">
        <v>1420</v>
      </c>
      <c r="Y279" s="23" t="s">
        <v>42</v>
      </c>
    </row>
    <row r="280" spans="1:25" ht="29.25" customHeight="1" x14ac:dyDescent="0.25">
      <c r="A280" s="17">
        <v>272</v>
      </c>
      <c r="B280" s="17">
        <v>1</v>
      </c>
      <c r="C280" s="17">
        <v>744</v>
      </c>
      <c r="D280" s="17">
        <v>692</v>
      </c>
      <c r="E280" s="30" t="s">
        <v>1421</v>
      </c>
      <c r="F280" s="27" t="s">
        <v>1422</v>
      </c>
      <c r="G280" s="17">
        <v>66</v>
      </c>
      <c r="H280" s="17" t="s">
        <v>1247</v>
      </c>
      <c r="I280" s="20" t="s">
        <v>1423</v>
      </c>
      <c r="J280" s="20">
        <v>7620105</v>
      </c>
      <c r="K280" s="20">
        <v>5</v>
      </c>
      <c r="L280" s="17" t="s">
        <v>1424</v>
      </c>
      <c r="M280" s="17">
        <v>5</v>
      </c>
      <c r="N280" s="20">
        <v>5</v>
      </c>
      <c r="O280" s="20" t="s">
        <v>62</v>
      </c>
      <c r="P280" s="20" t="s">
        <v>38</v>
      </c>
      <c r="Q280" s="17" t="s">
        <v>69</v>
      </c>
      <c r="R280" s="22">
        <v>1840000</v>
      </c>
      <c r="S280" s="22">
        <f t="shared" si="8"/>
        <v>1840000</v>
      </c>
      <c r="T280" s="22">
        <v>5</v>
      </c>
      <c r="U280" s="22">
        <f t="shared" si="7"/>
        <v>9200000</v>
      </c>
      <c r="V280" s="30" t="s">
        <v>1425</v>
      </c>
      <c r="W280" s="30" t="s">
        <v>1426</v>
      </c>
      <c r="X280" s="30" t="s">
        <v>1427</v>
      </c>
      <c r="Y280" s="17" t="s">
        <v>102</v>
      </c>
    </row>
    <row r="281" spans="1:25" ht="29.25" customHeight="1" x14ac:dyDescent="0.25">
      <c r="A281" s="17">
        <v>273</v>
      </c>
      <c r="B281" s="17">
        <v>2</v>
      </c>
      <c r="C281" s="17">
        <v>401</v>
      </c>
      <c r="D281" s="17">
        <v>351</v>
      </c>
      <c r="E281" s="17" t="s">
        <v>1428</v>
      </c>
      <c r="F281" s="27" t="s">
        <v>1429</v>
      </c>
      <c r="G281" s="17">
        <v>63</v>
      </c>
      <c r="H281" s="17" t="s">
        <v>1260</v>
      </c>
      <c r="I281" s="17" t="s">
        <v>1430</v>
      </c>
      <c r="J281" s="17">
        <v>7620105</v>
      </c>
      <c r="K281" s="17">
        <v>5</v>
      </c>
      <c r="L281" s="17" t="s">
        <v>1424</v>
      </c>
      <c r="M281" s="17">
        <v>5</v>
      </c>
      <c r="N281" s="17">
        <v>5</v>
      </c>
      <c r="O281" s="17" t="s">
        <v>62</v>
      </c>
      <c r="P281" s="17" t="s">
        <v>38</v>
      </c>
      <c r="Q281" s="17" t="s">
        <v>69</v>
      </c>
      <c r="R281" s="22">
        <v>1840000</v>
      </c>
      <c r="S281" s="22">
        <f t="shared" si="8"/>
        <v>1840000</v>
      </c>
      <c r="T281" s="22">
        <v>5</v>
      </c>
      <c r="U281" s="22">
        <f t="shared" si="7"/>
        <v>9200000</v>
      </c>
      <c r="V281" s="17" t="s">
        <v>1431</v>
      </c>
      <c r="W281" s="17" t="s">
        <v>1432</v>
      </c>
      <c r="X281" s="17" t="s">
        <v>1433</v>
      </c>
      <c r="Y281" s="17" t="s">
        <v>52</v>
      </c>
    </row>
    <row r="282" spans="1:25" ht="29.25" customHeight="1" x14ac:dyDescent="0.25">
      <c r="A282" s="17">
        <v>274</v>
      </c>
      <c r="B282" s="17">
        <v>3</v>
      </c>
      <c r="C282" s="17">
        <v>591</v>
      </c>
      <c r="D282" s="17">
        <v>539</v>
      </c>
      <c r="E282" s="17" t="s">
        <v>1434</v>
      </c>
      <c r="F282" s="27" t="s">
        <v>1435</v>
      </c>
      <c r="G282" s="17">
        <v>65</v>
      </c>
      <c r="H282" s="17" t="s">
        <v>1436</v>
      </c>
      <c r="I282" s="17" t="s">
        <v>1437</v>
      </c>
      <c r="J282" s="17">
        <v>7620110</v>
      </c>
      <c r="K282" s="17">
        <v>5</v>
      </c>
      <c r="L282" s="17" t="s">
        <v>1424</v>
      </c>
      <c r="M282" s="17">
        <v>5</v>
      </c>
      <c r="N282" s="17">
        <v>5</v>
      </c>
      <c r="O282" s="17" t="s">
        <v>55</v>
      </c>
      <c r="P282" s="17" t="s">
        <v>38</v>
      </c>
      <c r="Q282" s="17"/>
      <c r="R282" s="22">
        <v>1840000</v>
      </c>
      <c r="S282" s="22">
        <f t="shared" si="8"/>
        <v>1840000</v>
      </c>
      <c r="T282" s="22">
        <v>5</v>
      </c>
      <c r="U282" s="22">
        <f t="shared" si="7"/>
        <v>9200000</v>
      </c>
      <c r="V282" s="17" t="s">
        <v>1438</v>
      </c>
      <c r="W282" s="17" t="s">
        <v>1439</v>
      </c>
      <c r="X282" s="30" t="s">
        <v>1440</v>
      </c>
      <c r="Y282" s="17" t="s">
        <v>52</v>
      </c>
    </row>
    <row r="283" spans="1:25" ht="29.25" customHeight="1" x14ac:dyDescent="0.25">
      <c r="A283" s="17">
        <v>275</v>
      </c>
      <c r="B283" s="17">
        <v>4</v>
      </c>
      <c r="C283" s="17">
        <v>743</v>
      </c>
      <c r="D283" s="17">
        <v>691</v>
      </c>
      <c r="E283" s="30" t="s">
        <v>1441</v>
      </c>
      <c r="F283" s="27" t="s">
        <v>1442</v>
      </c>
      <c r="G283" s="17">
        <v>66</v>
      </c>
      <c r="H283" s="17" t="s">
        <v>1247</v>
      </c>
      <c r="I283" s="20" t="s">
        <v>1437</v>
      </c>
      <c r="J283" s="23" t="s">
        <v>1443</v>
      </c>
      <c r="K283" s="20">
        <v>5</v>
      </c>
      <c r="L283" s="17" t="s">
        <v>1424</v>
      </c>
      <c r="M283" s="17">
        <v>5</v>
      </c>
      <c r="N283" s="20">
        <v>5</v>
      </c>
      <c r="O283" s="17" t="s">
        <v>55</v>
      </c>
      <c r="P283" s="20" t="s">
        <v>38</v>
      </c>
      <c r="Q283" s="17" t="s">
        <v>69</v>
      </c>
      <c r="R283" s="22">
        <v>1840000</v>
      </c>
      <c r="S283" s="22">
        <f t="shared" si="8"/>
        <v>1840000</v>
      </c>
      <c r="T283" s="22">
        <v>5</v>
      </c>
      <c r="U283" s="22">
        <f t="shared" si="7"/>
        <v>9200000</v>
      </c>
      <c r="V283" s="30" t="s">
        <v>1444</v>
      </c>
      <c r="W283" s="30" t="s">
        <v>1445</v>
      </c>
      <c r="X283" s="30" t="s">
        <v>1446</v>
      </c>
      <c r="Y283" s="17" t="s">
        <v>449</v>
      </c>
    </row>
    <row r="284" spans="1:25" ht="29.25" customHeight="1" x14ac:dyDescent="0.25">
      <c r="A284" s="17">
        <v>276</v>
      </c>
      <c r="B284" s="17">
        <v>5</v>
      </c>
      <c r="C284" s="17">
        <v>545</v>
      </c>
      <c r="D284" s="17">
        <v>493</v>
      </c>
      <c r="E284" s="17" t="s">
        <v>1447</v>
      </c>
      <c r="F284" s="27" t="s">
        <v>1448</v>
      </c>
      <c r="G284" s="17">
        <v>62</v>
      </c>
      <c r="H284" s="17" t="s">
        <v>1253</v>
      </c>
      <c r="I284" s="17" t="s">
        <v>1449</v>
      </c>
      <c r="J284" s="17">
        <v>7620109</v>
      </c>
      <c r="K284" s="17">
        <v>5</v>
      </c>
      <c r="L284" s="17" t="s">
        <v>1424</v>
      </c>
      <c r="M284" s="17">
        <v>5</v>
      </c>
      <c r="N284" s="17">
        <v>5</v>
      </c>
      <c r="O284" s="17" t="s">
        <v>75</v>
      </c>
      <c r="P284" s="17" t="s">
        <v>76</v>
      </c>
      <c r="Q284" s="17" t="s">
        <v>69</v>
      </c>
      <c r="R284" s="22">
        <v>1840000</v>
      </c>
      <c r="S284" s="22">
        <f>R284*70%</f>
        <v>1288000</v>
      </c>
      <c r="T284" s="22">
        <v>5</v>
      </c>
      <c r="U284" s="22">
        <f t="shared" si="7"/>
        <v>6440000</v>
      </c>
      <c r="V284" s="17" t="s">
        <v>1450</v>
      </c>
      <c r="W284" s="30" t="s">
        <v>1451</v>
      </c>
      <c r="X284" s="17" t="s">
        <v>1452</v>
      </c>
      <c r="Y284" s="17" t="s">
        <v>52</v>
      </c>
    </row>
    <row r="285" spans="1:25" ht="29.25" customHeight="1" x14ac:dyDescent="0.25">
      <c r="A285" s="17">
        <v>277</v>
      </c>
      <c r="B285" s="17">
        <v>6</v>
      </c>
      <c r="C285" s="17">
        <v>402</v>
      </c>
      <c r="D285" s="17">
        <v>352</v>
      </c>
      <c r="E285" s="17" t="s">
        <v>1453</v>
      </c>
      <c r="F285" s="27" t="s">
        <v>1454</v>
      </c>
      <c r="G285" s="17">
        <v>63</v>
      </c>
      <c r="H285" s="17" t="s">
        <v>1260</v>
      </c>
      <c r="I285" s="17" t="s">
        <v>1449</v>
      </c>
      <c r="J285" s="17">
        <v>7620109</v>
      </c>
      <c r="K285" s="17">
        <v>5</v>
      </c>
      <c r="L285" s="17" t="s">
        <v>1424</v>
      </c>
      <c r="M285" s="17">
        <v>5</v>
      </c>
      <c r="N285" s="17">
        <v>5</v>
      </c>
      <c r="O285" s="17" t="s">
        <v>62</v>
      </c>
      <c r="P285" s="17" t="s">
        <v>38</v>
      </c>
      <c r="Q285" s="17" t="s">
        <v>543</v>
      </c>
      <c r="R285" s="22">
        <v>1840000</v>
      </c>
      <c r="S285" s="22">
        <f>R285</f>
        <v>1840000</v>
      </c>
      <c r="T285" s="22">
        <v>5</v>
      </c>
      <c r="U285" s="22">
        <f t="shared" si="7"/>
        <v>9200000</v>
      </c>
      <c r="V285" s="17" t="s">
        <v>1455</v>
      </c>
      <c r="W285" s="17" t="s">
        <v>1456</v>
      </c>
      <c r="X285" s="17" t="s">
        <v>1457</v>
      </c>
      <c r="Y285" s="17" t="s">
        <v>52</v>
      </c>
    </row>
    <row r="286" spans="1:25" ht="29.25" customHeight="1" x14ac:dyDescent="0.25">
      <c r="A286" s="17">
        <v>278</v>
      </c>
      <c r="B286" s="17">
        <v>7</v>
      </c>
      <c r="C286" s="17">
        <v>548</v>
      </c>
      <c r="D286" s="17">
        <v>496</v>
      </c>
      <c r="E286" s="30" t="s">
        <v>1458</v>
      </c>
      <c r="F286" s="27" t="s">
        <v>1459</v>
      </c>
      <c r="G286" s="17">
        <v>63</v>
      </c>
      <c r="H286" s="17" t="s">
        <v>1260</v>
      </c>
      <c r="I286" s="17" t="s">
        <v>1449</v>
      </c>
      <c r="J286" s="17">
        <v>7620109</v>
      </c>
      <c r="K286" s="17">
        <v>5</v>
      </c>
      <c r="L286" s="17" t="s">
        <v>1424</v>
      </c>
      <c r="M286" s="17">
        <v>5</v>
      </c>
      <c r="N286" s="17">
        <v>5</v>
      </c>
      <c r="O286" s="17" t="s">
        <v>62</v>
      </c>
      <c r="P286" s="17" t="s">
        <v>38</v>
      </c>
      <c r="Q286" s="17" t="s">
        <v>69</v>
      </c>
      <c r="R286" s="22">
        <v>1840000</v>
      </c>
      <c r="S286" s="22">
        <f>R286</f>
        <v>1840000</v>
      </c>
      <c r="T286" s="22">
        <v>5</v>
      </c>
      <c r="U286" s="22">
        <f t="shared" si="7"/>
        <v>9200000</v>
      </c>
      <c r="V286" s="30" t="s">
        <v>1460</v>
      </c>
      <c r="W286" s="30" t="s">
        <v>1461</v>
      </c>
      <c r="X286" s="30" t="s">
        <v>1462</v>
      </c>
      <c r="Y286" s="17" t="s">
        <v>52</v>
      </c>
    </row>
    <row r="287" spans="1:25" ht="29.25" customHeight="1" x14ac:dyDescent="0.25">
      <c r="A287" s="17">
        <v>279</v>
      </c>
      <c r="B287" s="17">
        <v>8</v>
      </c>
      <c r="C287" s="17">
        <v>479</v>
      </c>
      <c r="D287" s="17">
        <v>427</v>
      </c>
      <c r="E287" s="30" t="s">
        <v>1463</v>
      </c>
      <c r="F287" s="27" t="s">
        <v>1464</v>
      </c>
      <c r="G287" s="17">
        <v>63</v>
      </c>
      <c r="H287" s="17" t="s">
        <v>1260</v>
      </c>
      <c r="I287" s="17" t="s">
        <v>1465</v>
      </c>
      <c r="J287" s="17">
        <v>7620301</v>
      </c>
      <c r="K287" s="17">
        <v>5</v>
      </c>
      <c r="L287" s="17" t="s">
        <v>1424</v>
      </c>
      <c r="M287" s="17">
        <v>5</v>
      </c>
      <c r="N287" s="17">
        <v>5</v>
      </c>
      <c r="O287" s="17" t="s">
        <v>47</v>
      </c>
      <c r="P287" s="17" t="s">
        <v>48</v>
      </c>
      <c r="Q287" s="17"/>
      <c r="R287" s="22">
        <v>1840000</v>
      </c>
      <c r="S287" s="22">
        <f>50%*R287</f>
        <v>920000</v>
      </c>
      <c r="T287" s="22">
        <v>5</v>
      </c>
      <c r="U287" s="22">
        <f t="shared" si="7"/>
        <v>4600000</v>
      </c>
      <c r="V287" s="30" t="s">
        <v>1466</v>
      </c>
      <c r="W287" s="30" t="s">
        <v>1467</v>
      </c>
      <c r="X287" s="30" t="s">
        <v>1468</v>
      </c>
      <c r="Y287" s="17" t="s">
        <v>52</v>
      </c>
    </row>
    <row r="288" spans="1:25" ht="29.25" customHeight="1" x14ac:dyDescent="0.25">
      <c r="A288" s="17">
        <v>280</v>
      </c>
      <c r="B288" s="17">
        <v>9</v>
      </c>
      <c r="C288" s="38">
        <v>662</v>
      </c>
      <c r="D288" s="38">
        <v>610</v>
      </c>
      <c r="E288" s="32" t="s">
        <v>1469</v>
      </c>
      <c r="F288" s="39" t="s">
        <v>1470</v>
      </c>
      <c r="G288" s="38">
        <v>63</v>
      </c>
      <c r="H288" s="17" t="s">
        <v>1260</v>
      </c>
      <c r="I288" s="17" t="s">
        <v>1465</v>
      </c>
      <c r="J288" s="17">
        <v>7620301</v>
      </c>
      <c r="K288" s="17">
        <v>5</v>
      </c>
      <c r="L288" s="17" t="s">
        <v>1424</v>
      </c>
      <c r="M288" s="17">
        <v>5</v>
      </c>
      <c r="N288" s="17">
        <v>5</v>
      </c>
      <c r="O288" s="22" t="s">
        <v>116</v>
      </c>
      <c r="P288" s="17" t="s">
        <v>38</v>
      </c>
      <c r="Q288" s="25" t="s">
        <v>957</v>
      </c>
      <c r="R288" s="22">
        <v>1840000</v>
      </c>
      <c r="S288" s="22">
        <f>R288</f>
        <v>1840000</v>
      </c>
      <c r="T288" s="22">
        <v>5</v>
      </c>
      <c r="U288" s="22">
        <f t="shared" si="7"/>
        <v>9200000</v>
      </c>
      <c r="V288" s="22">
        <v>40304014632</v>
      </c>
      <c r="W288" s="30" t="s">
        <v>1471</v>
      </c>
      <c r="X288" s="30" t="s">
        <v>1472</v>
      </c>
      <c r="Y288" s="17" t="s">
        <v>52</v>
      </c>
    </row>
    <row r="289" spans="1:25" ht="29.25" customHeight="1" x14ac:dyDescent="0.25">
      <c r="A289" s="17">
        <v>281</v>
      </c>
      <c r="B289" s="17">
        <v>10</v>
      </c>
      <c r="C289" s="17">
        <v>746</v>
      </c>
      <c r="D289" s="17">
        <v>694</v>
      </c>
      <c r="E289" s="30" t="s">
        <v>1473</v>
      </c>
      <c r="F289" s="27" t="s">
        <v>1474</v>
      </c>
      <c r="G289" s="17">
        <v>62</v>
      </c>
      <c r="H289" s="17" t="s">
        <v>1475</v>
      </c>
      <c r="I289" s="20" t="s">
        <v>1476</v>
      </c>
      <c r="J289" s="20">
        <v>7850103</v>
      </c>
      <c r="K289" s="20">
        <v>7</v>
      </c>
      <c r="L289" s="17" t="s">
        <v>1424</v>
      </c>
      <c r="M289" s="17">
        <v>5</v>
      </c>
      <c r="N289" s="20">
        <v>7</v>
      </c>
      <c r="O289" s="20" t="s">
        <v>62</v>
      </c>
      <c r="P289" s="20" t="s">
        <v>38</v>
      </c>
      <c r="Q289" s="17" t="s">
        <v>69</v>
      </c>
      <c r="R289" s="33">
        <v>1565000</v>
      </c>
      <c r="S289" s="22">
        <f>R289</f>
        <v>1565000</v>
      </c>
      <c r="T289" s="22">
        <v>5</v>
      </c>
      <c r="U289" s="22">
        <f t="shared" si="7"/>
        <v>7825000</v>
      </c>
      <c r="V289" s="30">
        <v>40303025730</v>
      </c>
      <c r="W289" s="30" t="s">
        <v>1477</v>
      </c>
      <c r="X289" s="30" t="s">
        <v>1477</v>
      </c>
      <c r="Y289" s="17" t="s">
        <v>102</v>
      </c>
    </row>
    <row r="290" spans="1:25" ht="29.25" customHeight="1" x14ac:dyDescent="0.25">
      <c r="A290" s="17">
        <v>282</v>
      </c>
      <c r="B290" s="17">
        <v>11</v>
      </c>
      <c r="C290" s="17">
        <v>594</v>
      </c>
      <c r="D290" s="17">
        <v>542</v>
      </c>
      <c r="E290" s="17" t="s">
        <v>1478</v>
      </c>
      <c r="F290" s="56" t="s">
        <v>1479</v>
      </c>
      <c r="G290" s="17">
        <v>65</v>
      </c>
      <c r="H290" s="17" t="s">
        <v>1436</v>
      </c>
      <c r="I290" s="17" t="s">
        <v>1476</v>
      </c>
      <c r="J290" s="17">
        <v>7850103</v>
      </c>
      <c r="K290" s="17">
        <v>7</v>
      </c>
      <c r="L290" s="17" t="s">
        <v>1424</v>
      </c>
      <c r="M290" s="17">
        <v>5</v>
      </c>
      <c r="N290" s="17">
        <v>7</v>
      </c>
      <c r="O290" s="17" t="s">
        <v>62</v>
      </c>
      <c r="P290" s="17" t="s">
        <v>38</v>
      </c>
      <c r="Q290" s="17" t="s">
        <v>213</v>
      </c>
      <c r="R290" s="22">
        <v>1565000</v>
      </c>
      <c r="S290" s="22">
        <f>R290</f>
        <v>1565000</v>
      </c>
      <c r="T290" s="22">
        <v>5</v>
      </c>
      <c r="U290" s="22">
        <f t="shared" si="7"/>
        <v>7825000</v>
      </c>
      <c r="V290" s="30" t="s">
        <v>1480</v>
      </c>
      <c r="W290" s="30" t="s">
        <v>1481</v>
      </c>
      <c r="X290" s="30" t="s">
        <v>1481</v>
      </c>
      <c r="Y290" s="17" t="s">
        <v>102</v>
      </c>
    </row>
    <row r="291" spans="1:25" ht="29.25" customHeight="1" x14ac:dyDescent="0.25">
      <c r="A291" s="17">
        <v>283</v>
      </c>
      <c r="B291" s="17">
        <v>12</v>
      </c>
      <c r="C291" s="17">
        <v>747</v>
      </c>
      <c r="D291" s="17">
        <v>695</v>
      </c>
      <c r="E291" s="30" t="s">
        <v>1482</v>
      </c>
      <c r="F291" s="27" t="s">
        <v>1483</v>
      </c>
      <c r="G291" s="17">
        <v>66</v>
      </c>
      <c r="H291" s="17" t="s">
        <v>1247</v>
      </c>
      <c r="I291" s="20" t="s">
        <v>1484</v>
      </c>
      <c r="J291" s="20">
        <v>7850103</v>
      </c>
      <c r="K291" s="20">
        <v>7</v>
      </c>
      <c r="L291" s="17" t="s">
        <v>1424</v>
      </c>
      <c r="M291" s="17">
        <v>5</v>
      </c>
      <c r="N291" s="20">
        <v>7</v>
      </c>
      <c r="O291" s="20" t="s">
        <v>75</v>
      </c>
      <c r="P291" s="20" t="s">
        <v>76</v>
      </c>
      <c r="Q291" s="17" t="s">
        <v>69</v>
      </c>
      <c r="R291" s="33">
        <v>1565000</v>
      </c>
      <c r="S291" s="22">
        <f>R291*70%</f>
        <v>1095500</v>
      </c>
      <c r="T291" s="22">
        <v>5</v>
      </c>
      <c r="U291" s="22">
        <f t="shared" si="7"/>
        <v>5477500</v>
      </c>
      <c r="V291" s="30" t="s">
        <v>1485</v>
      </c>
      <c r="W291" s="30" t="s">
        <v>1486</v>
      </c>
      <c r="X291" s="30" t="s">
        <v>1487</v>
      </c>
      <c r="Y291" s="17" t="s">
        <v>42</v>
      </c>
    </row>
    <row r="292" spans="1:25" ht="29.25" customHeight="1" x14ac:dyDescent="0.25">
      <c r="A292" s="17">
        <v>284</v>
      </c>
      <c r="B292" s="17">
        <v>13</v>
      </c>
      <c r="C292" s="17">
        <v>253</v>
      </c>
      <c r="D292" s="17">
        <v>265</v>
      </c>
      <c r="E292" s="17" t="s">
        <v>1488</v>
      </c>
      <c r="F292" s="27" t="s">
        <v>1489</v>
      </c>
      <c r="G292" s="17">
        <v>62</v>
      </c>
      <c r="H292" s="17" t="s">
        <v>1253</v>
      </c>
      <c r="I292" s="17" t="s">
        <v>1490</v>
      </c>
      <c r="J292" s="17">
        <v>7850101</v>
      </c>
      <c r="K292" s="17">
        <v>7</v>
      </c>
      <c r="L292" s="17" t="s">
        <v>1424</v>
      </c>
      <c r="M292" s="17">
        <v>5</v>
      </c>
      <c r="N292" s="17">
        <v>7</v>
      </c>
      <c r="O292" s="17" t="s">
        <v>75</v>
      </c>
      <c r="P292" s="17" t="s">
        <v>76</v>
      </c>
      <c r="Q292" s="17" t="s">
        <v>543</v>
      </c>
      <c r="R292" s="22">
        <v>1565000</v>
      </c>
      <c r="S292" s="22">
        <f>R292*70%</f>
        <v>1095500</v>
      </c>
      <c r="T292" s="22">
        <v>5</v>
      </c>
      <c r="U292" s="22">
        <f t="shared" si="7"/>
        <v>5477500</v>
      </c>
      <c r="V292" s="17">
        <v>187997155</v>
      </c>
      <c r="W292" s="17" t="s">
        <v>1491</v>
      </c>
      <c r="X292" s="17" t="s">
        <v>1492</v>
      </c>
      <c r="Y292" s="17" t="s">
        <v>52</v>
      </c>
    </row>
    <row r="293" spans="1:25" ht="29.25" customHeight="1" x14ac:dyDescent="0.25">
      <c r="A293" s="17">
        <v>285</v>
      </c>
      <c r="B293" s="17">
        <v>14</v>
      </c>
      <c r="C293" s="17">
        <v>534</v>
      </c>
      <c r="D293" s="17">
        <v>482</v>
      </c>
      <c r="E293" s="30" t="s">
        <v>1493</v>
      </c>
      <c r="F293" s="27" t="s">
        <v>1494</v>
      </c>
      <c r="G293" s="17">
        <v>64</v>
      </c>
      <c r="H293" s="17" t="s">
        <v>1276</v>
      </c>
      <c r="I293" s="17" t="s">
        <v>1490</v>
      </c>
      <c r="J293" s="17">
        <v>7850101</v>
      </c>
      <c r="K293" s="17">
        <v>7</v>
      </c>
      <c r="L293" s="17" t="s">
        <v>1424</v>
      </c>
      <c r="M293" s="17">
        <v>5</v>
      </c>
      <c r="N293" s="17">
        <v>7</v>
      </c>
      <c r="O293" s="17" t="s">
        <v>62</v>
      </c>
      <c r="P293" s="17" t="s">
        <v>38</v>
      </c>
      <c r="Q293" s="17" t="s">
        <v>69</v>
      </c>
      <c r="R293" s="22">
        <v>1565000</v>
      </c>
      <c r="S293" s="22">
        <f>R293</f>
        <v>1565000</v>
      </c>
      <c r="T293" s="22">
        <v>5</v>
      </c>
      <c r="U293" s="22">
        <f t="shared" si="7"/>
        <v>7825000</v>
      </c>
      <c r="V293" s="30" t="s">
        <v>1495</v>
      </c>
      <c r="W293" s="30" t="s">
        <v>1496</v>
      </c>
      <c r="X293" s="30" t="s">
        <v>1497</v>
      </c>
      <c r="Y293" s="17" t="s">
        <v>52</v>
      </c>
    </row>
    <row r="294" spans="1:25" ht="29.25" customHeight="1" x14ac:dyDescent="0.25">
      <c r="A294" s="17">
        <v>286</v>
      </c>
      <c r="B294" s="17">
        <v>15</v>
      </c>
      <c r="C294" s="17">
        <v>745</v>
      </c>
      <c r="D294" s="17">
        <v>693</v>
      </c>
      <c r="E294" s="30" t="s">
        <v>1498</v>
      </c>
      <c r="F294" s="27" t="s">
        <v>1499</v>
      </c>
      <c r="G294" s="17">
        <v>65</v>
      </c>
      <c r="H294" s="17" t="s">
        <v>1436</v>
      </c>
      <c r="I294" s="20" t="s">
        <v>1490</v>
      </c>
      <c r="J294" s="20">
        <v>7850101</v>
      </c>
      <c r="K294" s="20">
        <v>7</v>
      </c>
      <c r="L294" s="17" t="s">
        <v>1424</v>
      </c>
      <c r="M294" s="17">
        <v>5</v>
      </c>
      <c r="N294" s="20">
        <v>7</v>
      </c>
      <c r="O294" s="20" t="s">
        <v>62</v>
      </c>
      <c r="P294" s="20" t="s">
        <v>38</v>
      </c>
      <c r="Q294" s="17" t="s">
        <v>69</v>
      </c>
      <c r="R294" s="33">
        <v>1565000</v>
      </c>
      <c r="S294" s="22">
        <f>R294</f>
        <v>1565000</v>
      </c>
      <c r="T294" s="22">
        <v>5</v>
      </c>
      <c r="U294" s="22">
        <f t="shared" si="7"/>
        <v>7825000</v>
      </c>
      <c r="V294" s="30" t="s">
        <v>1500</v>
      </c>
      <c r="W294" s="30" t="s">
        <v>1501</v>
      </c>
      <c r="X294" s="30" t="s">
        <v>1502</v>
      </c>
      <c r="Y294" s="17" t="s">
        <v>42</v>
      </c>
    </row>
    <row r="295" spans="1:25" ht="29.25" customHeight="1" x14ac:dyDescent="0.25">
      <c r="A295" s="17">
        <v>287</v>
      </c>
      <c r="B295" s="17">
        <v>16</v>
      </c>
      <c r="C295" s="17">
        <v>748</v>
      </c>
      <c r="D295" s="17">
        <v>696</v>
      </c>
      <c r="E295" s="30" t="s">
        <v>1503</v>
      </c>
      <c r="F295" s="27" t="s">
        <v>1504</v>
      </c>
      <c r="G295" s="17">
        <v>66</v>
      </c>
      <c r="H295" s="17" t="s">
        <v>1247</v>
      </c>
      <c r="I295" s="20" t="s">
        <v>1490</v>
      </c>
      <c r="J295" s="20">
        <v>7850101</v>
      </c>
      <c r="K295" s="20">
        <v>7</v>
      </c>
      <c r="L295" s="17" t="s">
        <v>1424</v>
      </c>
      <c r="M295" s="17">
        <v>5</v>
      </c>
      <c r="N295" s="20">
        <v>7</v>
      </c>
      <c r="O295" s="20" t="s">
        <v>75</v>
      </c>
      <c r="P295" s="20" t="s">
        <v>76</v>
      </c>
      <c r="Q295" s="17" t="s">
        <v>69</v>
      </c>
      <c r="R295" s="33">
        <v>1565000</v>
      </c>
      <c r="S295" s="22">
        <f>R295*70%</f>
        <v>1095500</v>
      </c>
      <c r="T295" s="22">
        <v>5</v>
      </c>
      <c r="U295" s="22">
        <f t="shared" si="7"/>
        <v>5477500</v>
      </c>
      <c r="V295" s="30" t="s">
        <v>1505</v>
      </c>
      <c r="W295" s="30" t="s">
        <v>1506</v>
      </c>
      <c r="X295" s="30" t="s">
        <v>1507</v>
      </c>
      <c r="Y295" s="17" t="s">
        <v>310</v>
      </c>
    </row>
    <row r="296" spans="1:25" ht="29.25" customHeight="1" x14ac:dyDescent="0.25">
      <c r="A296" s="17">
        <v>288</v>
      </c>
      <c r="B296" s="17">
        <v>17</v>
      </c>
      <c r="C296" s="17">
        <v>749</v>
      </c>
      <c r="D296" s="17">
        <v>697</v>
      </c>
      <c r="E296" s="30" t="s">
        <v>1508</v>
      </c>
      <c r="F296" s="27" t="s">
        <v>1509</v>
      </c>
      <c r="G296" s="17">
        <v>66</v>
      </c>
      <c r="H296" s="17" t="s">
        <v>1247</v>
      </c>
      <c r="I296" s="20" t="s">
        <v>1490</v>
      </c>
      <c r="J296" s="20">
        <v>7850101</v>
      </c>
      <c r="K296" s="20">
        <v>7</v>
      </c>
      <c r="L296" s="17" t="s">
        <v>1424</v>
      </c>
      <c r="M296" s="17">
        <v>5</v>
      </c>
      <c r="N296" s="20">
        <v>7</v>
      </c>
      <c r="O296" s="20" t="s">
        <v>75</v>
      </c>
      <c r="P296" s="20" t="s">
        <v>76</v>
      </c>
      <c r="Q296" s="17" t="s">
        <v>213</v>
      </c>
      <c r="R296" s="33">
        <v>1565000</v>
      </c>
      <c r="S296" s="22">
        <f>R296*70%</f>
        <v>1095500</v>
      </c>
      <c r="T296" s="22">
        <v>5</v>
      </c>
      <c r="U296" s="22">
        <f t="shared" si="7"/>
        <v>5477500</v>
      </c>
      <c r="V296" s="30" t="s">
        <v>1510</v>
      </c>
      <c r="W296" s="30" t="s">
        <v>1511</v>
      </c>
      <c r="X296" s="30" t="s">
        <v>1512</v>
      </c>
      <c r="Y296" s="17" t="s">
        <v>102</v>
      </c>
    </row>
    <row r="297" spans="1:25" ht="29.25" customHeight="1" x14ac:dyDescent="0.25">
      <c r="A297" s="17">
        <v>289</v>
      </c>
      <c r="B297" s="17">
        <v>18</v>
      </c>
      <c r="C297" s="17">
        <v>750</v>
      </c>
      <c r="D297" s="17">
        <v>698</v>
      </c>
      <c r="E297" s="30" t="s">
        <v>1513</v>
      </c>
      <c r="F297" s="27" t="s">
        <v>1514</v>
      </c>
      <c r="G297" s="17">
        <v>66</v>
      </c>
      <c r="H297" s="17" t="s">
        <v>1247</v>
      </c>
      <c r="I297" s="20" t="s">
        <v>1490</v>
      </c>
      <c r="J297" s="20">
        <v>7850101</v>
      </c>
      <c r="K297" s="20">
        <v>7</v>
      </c>
      <c r="L297" s="17" t="s">
        <v>1424</v>
      </c>
      <c r="M297" s="17">
        <v>5</v>
      </c>
      <c r="N297" s="20">
        <v>7</v>
      </c>
      <c r="O297" s="20" t="s">
        <v>75</v>
      </c>
      <c r="P297" s="20" t="s">
        <v>76</v>
      </c>
      <c r="Q297" s="17" t="s">
        <v>69</v>
      </c>
      <c r="R297" s="33">
        <v>1565000</v>
      </c>
      <c r="S297" s="22">
        <f>R297*70%</f>
        <v>1095500</v>
      </c>
      <c r="T297" s="22">
        <v>5</v>
      </c>
      <c r="U297" s="22">
        <f t="shared" si="7"/>
        <v>5477500</v>
      </c>
      <c r="V297" s="30" t="s">
        <v>1515</v>
      </c>
      <c r="W297" s="30" t="s">
        <v>1516</v>
      </c>
      <c r="X297" s="30" t="s">
        <v>1516</v>
      </c>
      <c r="Y297" s="17" t="s">
        <v>102</v>
      </c>
    </row>
    <row r="298" spans="1:25" ht="29.25" customHeight="1" x14ac:dyDescent="0.25">
      <c r="A298" s="17">
        <v>290</v>
      </c>
      <c r="B298" s="17">
        <v>19</v>
      </c>
      <c r="C298" s="17">
        <v>799</v>
      </c>
      <c r="D298" s="17">
        <v>747</v>
      </c>
      <c r="E298" s="30" t="s">
        <v>1517</v>
      </c>
      <c r="F298" s="27" t="s">
        <v>1518</v>
      </c>
      <c r="G298" s="17">
        <v>65</v>
      </c>
      <c r="H298" s="17" t="s">
        <v>1436</v>
      </c>
      <c r="I298" s="20" t="s">
        <v>1519</v>
      </c>
      <c r="J298" s="20"/>
      <c r="K298" s="20">
        <v>5</v>
      </c>
      <c r="L298" s="20" t="s">
        <v>1424</v>
      </c>
      <c r="M298" s="17">
        <v>5</v>
      </c>
      <c r="N298" s="20">
        <v>5</v>
      </c>
      <c r="O298" s="20" t="s">
        <v>62</v>
      </c>
      <c r="P298" s="20" t="s">
        <v>38</v>
      </c>
      <c r="Q298" s="20" t="s">
        <v>189</v>
      </c>
      <c r="R298" s="33">
        <v>1840000</v>
      </c>
      <c r="S298" s="22">
        <f>R298</f>
        <v>1840000</v>
      </c>
      <c r="T298" s="22">
        <v>5</v>
      </c>
      <c r="U298" s="22">
        <f t="shared" si="7"/>
        <v>9200000</v>
      </c>
      <c r="V298" s="30" t="s">
        <v>1520</v>
      </c>
      <c r="W298" s="23" t="s">
        <v>1521</v>
      </c>
      <c r="X298" s="34" t="s">
        <v>1521</v>
      </c>
      <c r="Y298" s="17" t="s">
        <v>102</v>
      </c>
    </row>
    <row r="299" spans="1:25" ht="29.25" customHeight="1" x14ac:dyDescent="0.25">
      <c r="A299" s="17">
        <v>291</v>
      </c>
      <c r="B299" s="17">
        <v>1</v>
      </c>
      <c r="C299" s="17">
        <v>601</v>
      </c>
      <c r="D299" s="17">
        <v>549</v>
      </c>
      <c r="E299" s="30" t="s">
        <v>1522</v>
      </c>
      <c r="F299" s="27" t="s">
        <v>1523</v>
      </c>
      <c r="G299" s="17">
        <v>65</v>
      </c>
      <c r="H299" s="17" t="s">
        <v>1436</v>
      </c>
      <c r="I299" s="17" t="s">
        <v>1524</v>
      </c>
      <c r="J299" s="17">
        <v>7420201</v>
      </c>
      <c r="K299" s="17">
        <v>4</v>
      </c>
      <c r="L299" s="17" t="s">
        <v>1525</v>
      </c>
      <c r="M299" s="17">
        <v>6</v>
      </c>
      <c r="N299" s="17">
        <v>4</v>
      </c>
      <c r="O299" s="17" t="s">
        <v>62</v>
      </c>
      <c r="P299" s="17" t="s">
        <v>38</v>
      </c>
      <c r="Q299" s="17" t="s">
        <v>69</v>
      </c>
      <c r="R299" s="22">
        <v>1700000</v>
      </c>
      <c r="S299" s="22">
        <f>R299</f>
        <v>1700000</v>
      </c>
      <c r="T299" s="22">
        <v>5</v>
      </c>
      <c r="U299" s="22">
        <f t="shared" si="7"/>
        <v>8500000</v>
      </c>
      <c r="V299" s="57">
        <v>40306020674</v>
      </c>
      <c r="W299" s="17">
        <v>375065260</v>
      </c>
      <c r="X299" s="30" t="s">
        <v>1526</v>
      </c>
      <c r="Y299" s="17" t="s">
        <v>52</v>
      </c>
    </row>
    <row r="300" spans="1:25" ht="29.25" customHeight="1" x14ac:dyDescent="0.25">
      <c r="A300" s="17">
        <v>292</v>
      </c>
      <c r="B300" s="17">
        <v>2</v>
      </c>
      <c r="C300" s="17">
        <v>752</v>
      </c>
      <c r="D300" s="17">
        <v>700</v>
      </c>
      <c r="E300" s="23" t="s">
        <v>1527</v>
      </c>
      <c r="F300" s="19" t="s">
        <v>1528</v>
      </c>
      <c r="G300" s="20">
        <v>66</v>
      </c>
      <c r="H300" s="20" t="s">
        <v>1247</v>
      </c>
      <c r="I300" s="20" t="s">
        <v>1529</v>
      </c>
      <c r="J300" s="20">
        <v>7540101</v>
      </c>
      <c r="K300" s="20">
        <v>5</v>
      </c>
      <c r="L300" s="20" t="s">
        <v>1525</v>
      </c>
      <c r="M300" s="17">
        <v>6</v>
      </c>
      <c r="N300" s="20">
        <v>5</v>
      </c>
      <c r="O300" s="20" t="s">
        <v>75</v>
      </c>
      <c r="P300" s="20" t="s">
        <v>76</v>
      </c>
      <c r="Q300" s="20" t="s">
        <v>69</v>
      </c>
      <c r="R300" s="22">
        <v>1840000</v>
      </c>
      <c r="S300" s="22">
        <f>R300*70%</f>
        <v>1288000</v>
      </c>
      <c r="T300" s="22">
        <v>5</v>
      </c>
      <c r="U300" s="22">
        <f t="shared" si="7"/>
        <v>6440000</v>
      </c>
      <c r="V300" s="58" t="s">
        <v>1530</v>
      </c>
      <c r="W300" s="58" t="s">
        <v>1531</v>
      </c>
      <c r="X300" s="58" t="s">
        <v>1532</v>
      </c>
      <c r="Y300" s="59" t="s">
        <v>42</v>
      </c>
    </row>
    <row r="301" spans="1:25" ht="29.25" customHeight="1" x14ac:dyDescent="0.25">
      <c r="A301" s="17">
        <v>293</v>
      </c>
      <c r="B301" s="17">
        <v>3</v>
      </c>
      <c r="C301" s="17">
        <v>364</v>
      </c>
      <c r="D301" s="17">
        <v>317</v>
      </c>
      <c r="E301" s="17" t="s">
        <v>1533</v>
      </c>
      <c r="F301" s="27" t="s">
        <v>1534</v>
      </c>
      <c r="G301" s="17">
        <v>63</v>
      </c>
      <c r="H301" s="17" t="s">
        <v>156</v>
      </c>
      <c r="I301" s="17" t="s">
        <v>1535</v>
      </c>
      <c r="J301" s="17">
        <v>7720301</v>
      </c>
      <c r="K301" s="17">
        <v>6</v>
      </c>
      <c r="L301" s="17" t="s">
        <v>1525</v>
      </c>
      <c r="M301" s="17">
        <v>6</v>
      </c>
      <c r="N301" s="17">
        <v>6</v>
      </c>
      <c r="O301" s="17" t="s">
        <v>116</v>
      </c>
      <c r="P301" s="17" t="s">
        <v>38</v>
      </c>
      <c r="Q301" s="17"/>
      <c r="R301" s="22">
        <v>1956000</v>
      </c>
      <c r="S301" s="22">
        <f>R301</f>
        <v>1956000</v>
      </c>
      <c r="T301" s="22">
        <v>5</v>
      </c>
      <c r="U301" s="22">
        <f t="shared" si="7"/>
        <v>9780000</v>
      </c>
      <c r="V301" s="17" t="s">
        <v>1536</v>
      </c>
      <c r="W301" s="17" t="s">
        <v>1537</v>
      </c>
      <c r="X301" s="17">
        <v>5103623388</v>
      </c>
      <c r="Y301" s="17" t="s">
        <v>42</v>
      </c>
    </row>
    <row r="302" spans="1:25" ht="29.25" customHeight="1" x14ac:dyDescent="0.25">
      <c r="A302" s="17">
        <v>294</v>
      </c>
      <c r="B302" s="17">
        <v>4</v>
      </c>
      <c r="C302" s="17">
        <v>365</v>
      </c>
      <c r="D302" s="17">
        <v>318</v>
      </c>
      <c r="E302" s="17" t="s">
        <v>1538</v>
      </c>
      <c r="F302" s="27" t="s">
        <v>1539</v>
      </c>
      <c r="G302" s="17">
        <v>63</v>
      </c>
      <c r="H302" s="17" t="s">
        <v>200</v>
      </c>
      <c r="I302" s="17" t="s">
        <v>1535</v>
      </c>
      <c r="J302" s="17">
        <v>7720301</v>
      </c>
      <c r="K302" s="17">
        <v>6</v>
      </c>
      <c r="L302" s="17" t="s">
        <v>1525</v>
      </c>
      <c r="M302" s="17">
        <v>6</v>
      </c>
      <c r="N302" s="17">
        <v>6</v>
      </c>
      <c r="O302" s="17" t="s">
        <v>75</v>
      </c>
      <c r="P302" s="17" t="s">
        <v>76</v>
      </c>
      <c r="Q302" s="17" t="s">
        <v>69</v>
      </c>
      <c r="R302" s="22">
        <v>1956000</v>
      </c>
      <c r="S302" s="22">
        <f>R302*70%</f>
        <v>1369200</v>
      </c>
      <c r="T302" s="22">
        <v>5</v>
      </c>
      <c r="U302" s="22">
        <f t="shared" si="7"/>
        <v>6846000</v>
      </c>
      <c r="V302" s="17" t="s">
        <v>1540</v>
      </c>
      <c r="W302" s="17" t="s">
        <v>1541</v>
      </c>
      <c r="X302" s="17">
        <v>5103633253</v>
      </c>
      <c r="Y302" s="17" t="s">
        <v>42</v>
      </c>
    </row>
    <row r="303" spans="1:25" ht="29.25" customHeight="1" x14ac:dyDescent="0.25">
      <c r="A303" s="17">
        <v>295</v>
      </c>
      <c r="B303" s="17">
        <v>5</v>
      </c>
      <c r="C303" s="17">
        <v>366</v>
      </c>
      <c r="D303" s="17">
        <v>319</v>
      </c>
      <c r="E303" s="17" t="s">
        <v>1542</v>
      </c>
      <c r="F303" s="27" t="s">
        <v>1543</v>
      </c>
      <c r="G303" s="17">
        <v>63</v>
      </c>
      <c r="H303" s="17" t="s">
        <v>156</v>
      </c>
      <c r="I303" s="17" t="s">
        <v>1535</v>
      </c>
      <c r="J303" s="17">
        <v>7720301</v>
      </c>
      <c r="K303" s="17">
        <v>6</v>
      </c>
      <c r="L303" s="17" t="s">
        <v>1525</v>
      </c>
      <c r="M303" s="17">
        <v>6</v>
      </c>
      <c r="N303" s="17">
        <v>6</v>
      </c>
      <c r="O303" s="17" t="s">
        <v>62</v>
      </c>
      <c r="P303" s="17" t="s">
        <v>38</v>
      </c>
      <c r="Q303" s="17" t="s">
        <v>69</v>
      </c>
      <c r="R303" s="22">
        <v>1956000</v>
      </c>
      <c r="S303" s="22">
        <f>R303</f>
        <v>1956000</v>
      </c>
      <c r="T303" s="22">
        <v>5</v>
      </c>
      <c r="U303" s="22">
        <f t="shared" si="7"/>
        <v>9780000</v>
      </c>
      <c r="V303" s="17" t="s">
        <v>1544</v>
      </c>
      <c r="W303" s="17" t="s">
        <v>1545</v>
      </c>
      <c r="X303" s="17">
        <v>5141101266</v>
      </c>
      <c r="Y303" s="17" t="s">
        <v>42</v>
      </c>
    </row>
    <row r="304" spans="1:25" ht="29.25" customHeight="1" x14ac:dyDescent="0.25">
      <c r="A304" s="17">
        <v>296</v>
      </c>
      <c r="B304" s="17">
        <v>6</v>
      </c>
      <c r="C304" s="17">
        <v>433</v>
      </c>
      <c r="D304" s="17">
        <v>382</v>
      </c>
      <c r="E304" s="30" t="s">
        <v>1546</v>
      </c>
      <c r="F304" s="27" t="s">
        <v>1547</v>
      </c>
      <c r="G304" s="17">
        <v>63</v>
      </c>
      <c r="H304" s="17" t="s">
        <v>200</v>
      </c>
      <c r="I304" s="17" t="s">
        <v>1535</v>
      </c>
      <c r="J304" s="17">
        <v>7720301</v>
      </c>
      <c r="K304" s="17">
        <v>6</v>
      </c>
      <c r="L304" s="17" t="s">
        <v>1525</v>
      </c>
      <c r="M304" s="17">
        <v>6</v>
      </c>
      <c r="N304" s="17">
        <v>6</v>
      </c>
      <c r="O304" s="17" t="s">
        <v>75</v>
      </c>
      <c r="P304" s="17" t="s">
        <v>76</v>
      </c>
      <c r="Q304" s="17" t="s">
        <v>69</v>
      </c>
      <c r="R304" s="22">
        <v>1956000</v>
      </c>
      <c r="S304" s="22">
        <f>R304*70%</f>
        <v>1369200</v>
      </c>
      <c r="T304" s="22">
        <v>5</v>
      </c>
      <c r="U304" s="22">
        <f t="shared" si="7"/>
        <v>6846000</v>
      </c>
      <c r="V304" s="30" t="s">
        <v>1548</v>
      </c>
      <c r="W304" s="30" t="s">
        <v>1549</v>
      </c>
      <c r="X304" s="17">
        <v>5103623652</v>
      </c>
      <c r="Y304" s="17" t="s">
        <v>42</v>
      </c>
    </row>
    <row r="305" spans="1:25" ht="29.25" customHeight="1" x14ac:dyDescent="0.25">
      <c r="A305" s="17">
        <v>297</v>
      </c>
      <c r="B305" s="17">
        <v>7</v>
      </c>
      <c r="C305" s="17">
        <v>434</v>
      </c>
      <c r="D305" s="17">
        <v>383</v>
      </c>
      <c r="E305" s="30" t="s">
        <v>1550</v>
      </c>
      <c r="F305" s="27" t="s">
        <v>1551</v>
      </c>
      <c r="G305" s="17">
        <v>63</v>
      </c>
      <c r="H305" s="17" t="s">
        <v>156</v>
      </c>
      <c r="I305" s="17" t="s">
        <v>1535</v>
      </c>
      <c r="J305" s="17">
        <v>7720301</v>
      </c>
      <c r="K305" s="17">
        <v>6</v>
      </c>
      <c r="L305" s="17" t="s">
        <v>1525</v>
      </c>
      <c r="M305" s="17">
        <v>6</v>
      </c>
      <c r="N305" s="17">
        <v>6</v>
      </c>
      <c r="O305" s="17" t="s">
        <v>62</v>
      </c>
      <c r="P305" s="17" t="s">
        <v>38</v>
      </c>
      <c r="Q305" s="17" t="s">
        <v>69</v>
      </c>
      <c r="R305" s="22">
        <v>1956000</v>
      </c>
      <c r="S305" s="22">
        <f>R305</f>
        <v>1956000</v>
      </c>
      <c r="T305" s="22">
        <v>5</v>
      </c>
      <c r="U305" s="22">
        <f t="shared" si="7"/>
        <v>9780000</v>
      </c>
      <c r="V305" s="30" t="s">
        <v>1552</v>
      </c>
      <c r="W305" s="30" t="s">
        <v>1553</v>
      </c>
      <c r="X305" s="17">
        <v>5103623360</v>
      </c>
      <c r="Y305" s="17" t="s">
        <v>42</v>
      </c>
    </row>
    <row r="306" spans="1:25" ht="29.25" customHeight="1" x14ac:dyDescent="0.25">
      <c r="A306" s="17">
        <v>298</v>
      </c>
      <c r="B306" s="17">
        <v>8</v>
      </c>
      <c r="C306" s="17">
        <v>435</v>
      </c>
      <c r="D306" s="17">
        <v>384</v>
      </c>
      <c r="E306" s="30" t="s">
        <v>1554</v>
      </c>
      <c r="F306" s="27" t="s">
        <v>1555</v>
      </c>
      <c r="G306" s="17">
        <v>63</v>
      </c>
      <c r="H306" s="17" t="s">
        <v>200</v>
      </c>
      <c r="I306" s="17" t="s">
        <v>1535</v>
      </c>
      <c r="J306" s="17">
        <v>7720301</v>
      </c>
      <c r="K306" s="17">
        <v>6</v>
      </c>
      <c r="L306" s="17" t="s">
        <v>1525</v>
      </c>
      <c r="M306" s="17">
        <v>6</v>
      </c>
      <c r="N306" s="17">
        <v>6</v>
      </c>
      <c r="O306" s="17" t="s">
        <v>75</v>
      </c>
      <c r="P306" s="17" t="s">
        <v>76</v>
      </c>
      <c r="Q306" s="17" t="s">
        <v>69</v>
      </c>
      <c r="R306" s="22">
        <v>1956000</v>
      </c>
      <c r="S306" s="22">
        <f>R306*70%</f>
        <v>1369200</v>
      </c>
      <c r="T306" s="22">
        <v>5</v>
      </c>
      <c r="U306" s="22">
        <f t="shared" si="7"/>
        <v>6846000</v>
      </c>
      <c r="V306" s="30" t="s">
        <v>1556</v>
      </c>
      <c r="W306" s="30" t="s">
        <v>1557</v>
      </c>
      <c r="X306" s="17">
        <v>5103629100</v>
      </c>
      <c r="Y306" s="17" t="s">
        <v>42</v>
      </c>
    </row>
    <row r="307" spans="1:25" ht="29.25" customHeight="1" x14ac:dyDescent="0.25">
      <c r="A307" s="17">
        <v>299</v>
      </c>
      <c r="B307" s="17">
        <v>9</v>
      </c>
      <c r="C307" s="17">
        <v>529</v>
      </c>
      <c r="D307" s="17">
        <v>477</v>
      </c>
      <c r="E307" s="60" t="s">
        <v>1558</v>
      </c>
      <c r="F307" s="27" t="s">
        <v>1559</v>
      </c>
      <c r="G307" s="17">
        <v>64</v>
      </c>
      <c r="H307" s="17" t="s">
        <v>219</v>
      </c>
      <c r="I307" s="17" t="s">
        <v>1535</v>
      </c>
      <c r="J307" s="17">
        <v>7720301</v>
      </c>
      <c r="K307" s="17">
        <v>6</v>
      </c>
      <c r="L307" s="17" t="s">
        <v>1525</v>
      </c>
      <c r="M307" s="17">
        <v>6</v>
      </c>
      <c r="N307" s="17">
        <v>6</v>
      </c>
      <c r="O307" s="17" t="s">
        <v>55</v>
      </c>
      <c r="P307" s="17" t="s">
        <v>38</v>
      </c>
      <c r="Q307" s="17"/>
      <c r="R307" s="22">
        <v>1956000</v>
      </c>
      <c r="S307" s="22">
        <f>R307</f>
        <v>1956000</v>
      </c>
      <c r="T307" s="22">
        <v>5</v>
      </c>
      <c r="U307" s="22">
        <f t="shared" si="7"/>
        <v>9780000</v>
      </c>
      <c r="V307" s="30" t="s">
        <v>1560</v>
      </c>
      <c r="W307" s="30" t="s">
        <v>1561</v>
      </c>
      <c r="X307" s="30" t="s">
        <v>1562</v>
      </c>
      <c r="Y307" s="17" t="s">
        <v>52</v>
      </c>
    </row>
    <row r="308" spans="1:25" ht="29.25" customHeight="1" x14ac:dyDescent="0.25">
      <c r="A308" s="17">
        <v>300</v>
      </c>
      <c r="B308" s="17">
        <v>10</v>
      </c>
      <c r="C308" s="17">
        <v>530</v>
      </c>
      <c r="D308" s="17">
        <v>478</v>
      </c>
      <c r="E308" s="30" t="s">
        <v>1563</v>
      </c>
      <c r="F308" s="27" t="s">
        <v>1564</v>
      </c>
      <c r="G308" s="17">
        <v>64</v>
      </c>
      <c r="H308" s="17" t="s">
        <v>230</v>
      </c>
      <c r="I308" s="17" t="s">
        <v>1535</v>
      </c>
      <c r="J308" s="17">
        <v>7720301</v>
      </c>
      <c r="K308" s="17">
        <v>6</v>
      </c>
      <c r="L308" s="17" t="s">
        <v>1525</v>
      </c>
      <c r="M308" s="17">
        <v>6</v>
      </c>
      <c r="N308" s="17">
        <v>6</v>
      </c>
      <c r="O308" s="17" t="s">
        <v>116</v>
      </c>
      <c r="P308" s="17" t="s">
        <v>38</v>
      </c>
      <c r="Q308" s="17"/>
      <c r="R308" s="22">
        <v>1956000</v>
      </c>
      <c r="S308" s="22">
        <f>R308</f>
        <v>1956000</v>
      </c>
      <c r="T308" s="22">
        <v>5</v>
      </c>
      <c r="U308" s="22">
        <f t="shared" si="7"/>
        <v>9780000</v>
      </c>
      <c r="V308" s="30" t="s">
        <v>1565</v>
      </c>
      <c r="W308" s="30" t="s">
        <v>1566</v>
      </c>
      <c r="X308" s="30" t="s">
        <v>1567</v>
      </c>
      <c r="Y308" s="17" t="s">
        <v>52</v>
      </c>
    </row>
    <row r="309" spans="1:25" ht="29.25" customHeight="1" x14ac:dyDescent="0.25">
      <c r="A309" s="17">
        <v>301</v>
      </c>
      <c r="B309" s="17">
        <v>11</v>
      </c>
      <c r="C309" s="17">
        <v>531</v>
      </c>
      <c r="D309" s="17">
        <v>479</v>
      </c>
      <c r="E309" s="60" t="s">
        <v>1568</v>
      </c>
      <c r="F309" s="27" t="s">
        <v>1569</v>
      </c>
      <c r="G309" s="17">
        <v>64</v>
      </c>
      <c r="H309" s="17" t="s">
        <v>219</v>
      </c>
      <c r="I309" s="17" t="s">
        <v>1535</v>
      </c>
      <c r="J309" s="17">
        <v>7720301</v>
      </c>
      <c r="K309" s="17">
        <v>6</v>
      </c>
      <c r="L309" s="17" t="s">
        <v>1525</v>
      </c>
      <c r="M309" s="17">
        <v>6</v>
      </c>
      <c r="N309" s="17">
        <v>6</v>
      </c>
      <c r="O309" s="17" t="s">
        <v>75</v>
      </c>
      <c r="P309" s="17" t="s">
        <v>76</v>
      </c>
      <c r="Q309" s="17" t="s">
        <v>69</v>
      </c>
      <c r="R309" s="22">
        <v>1956000</v>
      </c>
      <c r="S309" s="22">
        <f>R309*70%</f>
        <v>1369200</v>
      </c>
      <c r="T309" s="22">
        <v>5</v>
      </c>
      <c r="U309" s="22">
        <f t="shared" si="7"/>
        <v>6846000</v>
      </c>
      <c r="V309" s="30" t="s">
        <v>1570</v>
      </c>
      <c r="W309" s="30" t="s">
        <v>1571</v>
      </c>
      <c r="X309" s="30" t="s">
        <v>1572</v>
      </c>
      <c r="Y309" s="17" t="s">
        <v>52</v>
      </c>
    </row>
    <row r="310" spans="1:25" ht="29.25" customHeight="1" x14ac:dyDescent="0.25">
      <c r="A310" s="17">
        <v>302</v>
      </c>
      <c r="B310" s="17">
        <v>12</v>
      </c>
      <c r="C310" s="17">
        <v>539</v>
      </c>
      <c r="D310" s="17">
        <v>487</v>
      </c>
      <c r="E310" s="30" t="s">
        <v>1573</v>
      </c>
      <c r="F310" s="27" t="s">
        <v>1574</v>
      </c>
      <c r="G310" s="17">
        <v>64</v>
      </c>
      <c r="H310" s="17" t="s">
        <v>219</v>
      </c>
      <c r="I310" s="17" t="s">
        <v>1535</v>
      </c>
      <c r="J310" s="17">
        <v>7720301</v>
      </c>
      <c r="K310" s="17">
        <v>6</v>
      </c>
      <c r="L310" s="17" t="s">
        <v>1525</v>
      </c>
      <c r="M310" s="17">
        <v>6</v>
      </c>
      <c r="N310" s="17">
        <v>6</v>
      </c>
      <c r="O310" s="17" t="s">
        <v>75</v>
      </c>
      <c r="P310" s="17" t="s">
        <v>76</v>
      </c>
      <c r="Q310" s="17" t="s">
        <v>543</v>
      </c>
      <c r="R310" s="22">
        <v>1956000</v>
      </c>
      <c r="S310" s="22">
        <f>R310*70%</f>
        <v>1369200</v>
      </c>
      <c r="T310" s="22">
        <v>5</v>
      </c>
      <c r="U310" s="22">
        <f t="shared" si="7"/>
        <v>6846000</v>
      </c>
      <c r="V310" s="30" t="s">
        <v>1575</v>
      </c>
      <c r="W310" s="30" t="s">
        <v>1576</v>
      </c>
      <c r="X310" s="30" t="s">
        <v>1577</v>
      </c>
      <c r="Y310" s="17" t="s">
        <v>52</v>
      </c>
    </row>
    <row r="311" spans="1:25" ht="29.25" customHeight="1" x14ac:dyDescent="0.25">
      <c r="A311" s="17">
        <v>303</v>
      </c>
      <c r="B311" s="17">
        <v>13</v>
      </c>
      <c r="C311" s="17">
        <v>562</v>
      </c>
      <c r="D311" s="17">
        <v>510</v>
      </c>
      <c r="E311" s="30" t="s">
        <v>1578</v>
      </c>
      <c r="F311" s="27" t="s">
        <v>1579</v>
      </c>
      <c r="G311" s="17">
        <v>64</v>
      </c>
      <c r="H311" s="17" t="s">
        <v>219</v>
      </c>
      <c r="I311" s="17" t="s">
        <v>1535</v>
      </c>
      <c r="J311" s="17">
        <v>7720301</v>
      </c>
      <c r="K311" s="17">
        <v>6</v>
      </c>
      <c r="L311" s="17" t="s">
        <v>1525</v>
      </c>
      <c r="M311" s="17">
        <v>6</v>
      </c>
      <c r="N311" s="17">
        <v>6</v>
      </c>
      <c r="O311" s="17" t="s">
        <v>75</v>
      </c>
      <c r="P311" s="17" t="s">
        <v>76</v>
      </c>
      <c r="Q311" s="17" t="s">
        <v>69</v>
      </c>
      <c r="R311" s="22">
        <v>1956000</v>
      </c>
      <c r="S311" s="22">
        <f>R311*70%</f>
        <v>1369200</v>
      </c>
      <c r="T311" s="22">
        <v>5</v>
      </c>
      <c r="U311" s="22">
        <f t="shared" si="7"/>
        <v>6846000</v>
      </c>
      <c r="V311" s="30" t="s">
        <v>1580</v>
      </c>
      <c r="W311" s="30" t="s">
        <v>1581</v>
      </c>
      <c r="X311" s="30" t="s">
        <v>1582</v>
      </c>
      <c r="Y311" s="17" t="s">
        <v>52</v>
      </c>
    </row>
    <row r="312" spans="1:25" ht="29.25" customHeight="1" x14ac:dyDescent="0.25">
      <c r="A312" s="17">
        <v>304</v>
      </c>
      <c r="B312" s="17">
        <v>14</v>
      </c>
      <c r="C312" s="17">
        <v>602</v>
      </c>
      <c r="D312" s="17">
        <v>550</v>
      </c>
      <c r="E312" s="30" t="s">
        <v>1583</v>
      </c>
      <c r="F312" s="27" t="s">
        <v>1584</v>
      </c>
      <c r="G312" s="17">
        <v>65</v>
      </c>
      <c r="H312" s="17" t="s">
        <v>279</v>
      </c>
      <c r="I312" s="17" t="s">
        <v>1535</v>
      </c>
      <c r="J312" s="17">
        <v>7720301</v>
      </c>
      <c r="K312" s="17">
        <v>6</v>
      </c>
      <c r="L312" s="17" t="s">
        <v>1525</v>
      </c>
      <c r="M312" s="17">
        <v>6</v>
      </c>
      <c r="N312" s="17">
        <v>6</v>
      </c>
      <c r="O312" s="17" t="s">
        <v>62</v>
      </c>
      <c r="P312" s="17" t="s">
        <v>38</v>
      </c>
      <c r="Q312" s="17" t="s">
        <v>69</v>
      </c>
      <c r="R312" s="22">
        <v>1956000</v>
      </c>
      <c r="S312" s="22">
        <f>R312</f>
        <v>1956000</v>
      </c>
      <c r="T312" s="22">
        <v>5</v>
      </c>
      <c r="U312" s="22">
        <f t="shared" si="7"/>
        <v>9780000</v>
      </c>
      <c r="V312" s="57">
        <v>40306026247</v>
      </c>
      <c r="W312" s="17">
        <v>772764701</v>
      </c>
      <c r="X312" s="30" t="s">
        <v>1585</v>
      </c>
      <c r="Y312" s="17" t="s">
        <v>52</v>
      </c>
    </row>
    <row r="313" spans="1:25" ht="29.25" customHeight="1" x14ac:dyDescent="0.25">
      <c r="A313" s="17">
        <v>305</v>
      </c>
      <c r="B313" s="17">
        <v>15</v>
      </c>
      <c r="C313" s="17">
        <v>603</v>
      </c>
      <c r="D313" s="17">
        <v>551</v>
      </c>
      <c r="E313" s="30" t="s">
        <v>1586</v>
      </c>
      <c r="F313" s="27" t="s">
        <v>1587</v>
      </c>
      <c r="G313" s="17">
        <v>65</v>
      </c>
      <c r="H313" s="17" t="s">
        <v>418</v>
      </c>
      <c r="I313" s="17" t="s">
        <v>1535</v>
      </c>
      <c r="J313" s="17">
        <v>7720301</v>
      </c>
      <c r="K313" s="17">
        <v>6</v>
      </c>
      <c r="L313" s="17" t="s">
        <v>1525</v>
      </c>
      <c r="M313" s="17">
        <v>6</v>
      </c>
      <c r="N313" s="17">
        <v>6</v>
      </c>
      <c r="O313" s="17" t="s">
        <v>75</v>
      </c>
      <c r="P313" s="17" t="s">
        <v>76</v>
      </c>
      <c r="Q313" s="17" t="s">
        <v>69</v>
      </c>
      <c r="R313" s="22">
        <v>1956000</v>
      </c>
      <c r="S313" s="22">
        <f>R313*70%</f>
        <v>1369200</v>
      </c>
      <c r="T313" s="22">
        <v>5</v>
      </c>
      <c r="U313" s="22">
        <f t="shared" si="7"/>
        <v>6846000</v>
      </c>
      <c r="V313" s="30" t="s">
        <v>1588</v>
      </c>
      <c r="W313" s="30" t="s">
        <v>1589</v>
      </c>
      <c r="X313" s="30" t="s">
        <v>1590</v>
      </c>
      <c r="Y313" s="17" t="s">
        <v>52</v>
      </c>
    </row>
    <row r="314" spans="1:25" ht="29.25" customHeight="1" x14ac:dyDescent="0.25">
      <c r="A314" s="17">
        <v>306</v>
      </c>
      <c r="B314" s="17">
        <v>16</v>
      </c>
      <c r="C314" s="17">
        <v>604</v>
      </c>
      <c r="D314" s="17">
        <v>552</v>
      </c>
      <c r="E314" s="30" t="s">
        <v>1591</v>
      </c>
      <c r="F314" s="27" t="s">
        <v>1592</v>
      </c>
      <c r="G314" s="17">
        <v>65</v>
      </c>
      <c r="H314" s="17" t="s">
        <v>418</v>
      </c>
      <c r="I314" s="17" t="s">
        <v>1535</v>
      </c>
      <c r="J314" s="17">
        <v>7720301</v>
      </c>
      <c r="K314" s="17">
        <v>6</v>
      </c>
      <c r="L314" s="17" t="s">
        <v>1525</v>
      </c>
      <c r="M314" s="17">
        <v>6</v>
      </c>
      <c r="N314" s="17">
        <v>6</v>
      </c>
      <c r="O314" s="17" t="s">
        <v>62</v>
      </c>
      <c r="P314" s="17" t="s">
        <v>38</v>
      </c>
      <c r="Q314" s="17" t="s">
        <v>69</v>
      </c>
      <c r="R314" s="22">
        <v>1956000</v>
      </c>
      <c r="S314" s="22">
        <f>R314</f>
        <v>1956000</v>
      </c>
      <c r="T314" s="22">
        <v>5</v>
      </c>
      <c r="U314" s="22">
        <f t="shared" si="7"/>
        <v>9780000</v>
      </c>
      <c r="V314" s="30" t="s">
        <v>1593</v>
      </c>
      <c r="W314" s="30" t="s">
        <v>1594</v>
      </c>
      <c r="X314" s="30" t="s">
        <v>1595</v>
      </c>
      <c r="Y314" s="17" t="s">
        <v>449</v>
      </c>
    </row>
    <row r="315" spans="1:25" ht="29.25" customHeight="1" x14ac:dyDescent="0.25">
      <c r="A315" s="17">
        <v>307</v>
      </c>
      <c r="B315" s="17">
        <v>17</v>
      </c>
      <c r="C315" s="17">
        <v>605</v>
      </c>
      <c r="D315" s="17">
        <v>553</v>
      </c>
      <c r="E315" s="30" t="s">
        <v>1596</v>
      </c>
      <c r="F315" s="27" t="s">
        <v>1597</v>
      </c>
      <c r="G315" s="17">
        <v>65</v>
      </c>
      <c r="H315" s="17" t="s">
        <v>279</v>
      </c>
      <c r="I315" s="17" t="s">
        <v>1535</v>
      </c>
      <c r="J315" s="17">
        <v>7720301</v>
      </c>
      <c r="K315" s="17">
        <v>6</v>
      </c>
      <c r="L315" s="17" t="s">
        <v>1525</v>
      </c>
      <c r="M315" s="17">
        <v>6</v>
      </c>
      <c r="N315" s="17">
        <v>6</v>
      </c>
      <c r="O315" s="17" t="s">
        <v>62</v>
      </c>
      <c r="P315" s="17" t="s">
        <v>38</v>
      </c>
      <c r="Q315" s="17" t="s">
        <v>69</v>
      </c>
      <c r="R315" s="22">
        <v>1956000</v>
      </c>
      <c r="S315" s="22">
        <f>R315</f>
        <v>1956000</v>
      </c>
      <c r="T315" s="22">
        <v>5</v>
      </c>
      <c r="U315" s="22">
        <f t="shared" si="7"/>
        <v>9780000</v>
      </c>
      <c r="V315" s="57">
        <v>40306009370</v>
      </c>
      <c r="W315" s="17">
        <v>354674600</v>
      </c>
      <c r="X315" s="30" t="s">
        <v>1598</v>
      </c>
      <c r="Y315" s="17" t="s">
        <v>52</v>
      </c>
    </row>
    <row r="316" spans="1:25" ht="29.25" customHeight="1" x14ac:dyDescent="0.25">
      <c r="A316" s="17">
        <v>308</v>
      </c>
      <c r="B316" s="17">
        <v>18</v>
      </c>
      <c r="C316" s="38">
        <v>676</v>
      </c>
      <c r="D316" s="38">
        <v>624</v>
      </c>
      <c r="E316" s="32" t="s">
        <v>1599</v>
      </c>
      <c r="F316" s="39" t="s">
        <v>1600</v>
      </c>
      <c r="G316" s="17">
        <v>65</v>
      </c>
      <c r="H316" s="17" t="s">
        <v>279</v>
      </c>
      <c r="I316" s="17" t="s">
        <v>1535</v>
      </c>
      <c r="J316" s="17">
        <v>7720301</v>
      </c>
      <c r="K316" s="17">
        <v>6</v>
      </c>
      <c r="L316" s="17" t="s">
        <v>1525</v>
      </c>
      <c r="M316" s="17">
        <v>6</v>
      </c>
      <c r="N316" s="17">
        <v>6</v>
      </c>
      <c r="O316" s="17" t="s">
        <v>75</v>
      </c>
      <c r="P316" s="17" t="s">
        <v>76</v>
      </c>
      <c r="Q316" s="22"/>
      <c r="R316" s="22">
        <v>1956000</v>
      </c>
      <c r="S316" s="22">
        <f>R316*70%</f>
        <v>1369200</v>
      </c>
      <c r="T316" s="22">
        <v>5</v>
      </c>
      <c r="U316" s="22">
        <f t="shared" si="7"/>
        <v>6846000</v>
      </c>
      <c r="V316" s="61" t="s">
        <v>1601</v>
      </c>
      <c r="W316" s="61" t="s">
        <v>1602</v>
      </c>
      <c r="X316" s="61" t="s">
        <v>1603</v>
      </c>
      <c r="Y316" s="17" t="s">
        <v>52</v>
      </c>
    </row>
    <row r="317" spans="1:25" ht="29.25" customHeight="1" x14ac:dyDescent="0.25">
      <c r="A317" s="17">
        <v>309</v>
      </c>
      <c r="B317" s="17">
        <v>19</v>
      </c>
      <c r="C317" s="38">
        <v>677</v>
      </c>
      <c r="D317" s="38">
        <v>625</v>
      </c>
      <c r="E317" s="32" t="s">
        <v>1604</v>
      </c>
      <c r="F317" s="39" t="s">
        <v>1605</v>
      </c>
      <c r="G317" s="17">
        <v>65</v>
      </c>
      <c r="H317" s="17" t="s">
        <v>279</v>
      </c>
      <c r="I317" s="17" t="s">
        <v>1535</v>
      </c>
      <c r="J317" s="17">
        <v>7720301</v>
      </c>
      <c r="K317" s="17">
        <v>6</v>
      </c>
      <c r="L317" s="17" t="s">
        <v>1525</v>
      </c>
      <c r="M317" s="17">
        <v>6</v>
      </c>
      <c r="N317" s="17">
        <v>6</v>
      </c>
      <c r="O317" s="17" t="s">
        <v>62</v>
      </c>
      <c r="P317" s="25" t="s">
        <v>38</v>
      </c>
      <c r="Q317" s="25"/>
      <c r="R317" s="22">
        <v>1956000</v>
      </c>
      <c r="S317" s="22">
        <f>R317</f>
        <v>1956000</v>
      </c>
      <c r="T317" s="22">
        <v>5</v>
      </c>
      <c r="U317" s="22">
        <f t="shared" si="7"/>
        <v>9780000</v>
      </c>
      <c r="V317" s="62" t="s">
        <v>1606</v>
      </c>
      <c r="W317" s="17">
        <v>363695537</v>
      </c>
      <c r="X317" s="30" t="s">
        <v>1607</v>
      </c>
      <c r="Y317" s="17" t="s">
        <v>52</v>
      </c>
    </row>
    <row r="318" spans="1:25" ht="29.25" customHeight="1" x14ac:dyDescent="0.25">
      <c r="A318" s="17">
        <v>310</v>
      </c>
      <c r="B318" s="17">
        <v>20</v>
      </c>
      <c r="C318" s="17">
        <v>760</v>
      </c>
      <c r="D318" s="17">
        <v>708</v>
      </c>
      <c r="E318" s="23" t="s">
        <v>1608</v>
      </c>
      <c r="F318" s="19" t="s">
        <v>1609</v>
      </c>
      <c r="G318" s="20">
        <v>65</v>
      </c>
      <c r="H318" s="20" t="s">
        <v>418</v>
      </c>
      <c r="I318" s="20" t="s">
        <v>1535</v>
      </c>
      <c r="J318" s="20">
        <v>7720301</v>
      </c>
      <c r="K318" s="20">
        <v>6</v>
      </c>
      <c r="L318" s="20" t="s">
        <v>1525</v>
      </c>
      <c r="M318" s="17">
        <v>6</v>
      </c>
      <c r="N318" s="20">
        <v>6</v>
      </c>
      <c r="O318" s="20" t="s">
        <v>62</v>
      </c>
      <c r="P318" s="20" t="s">
        <v>38</v>
      </c>
      <c r="Q318" s="20" t="s">
        <v>1610</v>
      </c>
      <c r="R318" s="22">
        <v>1956000</v>
      </c>
      <c r="S318" s="22">
        <f>R318</f>
        <v>1956000</v>
      </c>
      <c r="T318" s="22">
        <v>5</v>
      </c>
      <c r="U318" s="22">
        <f t="shared" si="7"/>
        <v>9780000</v>
      </c>
      <c r="V318" s="59">
        <v>40205015370</v>
      </c>
      <c r="W318" s="58" t="s">
        <v>1611</v>
      </c>
      <c r="X318" s="58" t="s">
        <v>1612</v>
      </c>
      <c r="Y318" s="59" t="s">
        <v>1613</v>
      </c>
    </row>
    <row r="319" spans="1:25" ht="29.25" customHeight="1" x14ac:dyDescent="0.25">
      <c r="A319" s="17">
        <v>311</v>
      </c>
      <c r="B319" s="17">
        <v>21</v>
      </c>
      <c r="C319" s="17">
        <v>751</v>
      </c>
      <c r="D319" s="17">
        <v>699</v>
      </c>
      <c r="E319" s="23" t="s">
        <v>1614</v>
      </c>
      <c r="F319" s="19" t="s">
        <v>1615</v>
      </c>
      <c r="G319" s="20">
        <v>66</v>
      </c>
      <c r="H319" s="20" t="s">
        <v>137</v>
      </c>
      <c r="I319" s="20" t="s">
        <v>1535</v>
      </c>
      <c r="J319" s="20">
        <v>7720301</v>
      </c>
      <c r="K319" s="20">
        <v>6</v>
      </c>
      <c r="L319" s="20" t="s">
        <v>1525</v>
      </c>
      <c r="M319" s="17">
        <v>6</v>
      </c>
      <c r="N319" s="20">
        <v>6</v>
      </c>
      <c r="O319" s="20" t="s">
        <v>75</v>
      </c>
      <c r="P319" s="20" t="s">
        <v>76</v>
      </c>
      <c r="Q319" s="20" t="s">
        <v>69</v>
      </c>
      <c r="R319" s="22">
        <v>1956000</v>
      </c>
      <c r="S319" s="22">
        <f>R319*70%</f>
        <v>1369200</v>
      </c>
      <c r="T319" s="22">
        <v>5</v>
      </c>
      <c r="U319" s="22">
        <f t="shared" si="7"/>
        <v>6846000</v>
      </c>
      <c r="V319" s="58" t="s">
        <v>1616</v>
      </c>
      <c r="W319" s="58" t="s">
        <v>1617</v>
      </c>
      <c r="X319" s="59">
        <v>5180911619</v>
      </c>
      <c r="Y319" s="59" t="s">
        <v>42</v>
      </c>
    </row>
    <row r="320" spans="1:25" ht="29.25" customHeight="1" x14ac:dyDescent="0.25">
      <c r="A320" s="17">
        <v>312</v>
      </c>
      <c r="B320" s="17">
        <v>22</v>
      </c>
      <c r="C320" s="17">
        <v>753</v>
      </c>
      <c r="D320" s="17">
        <v>701</v>
      </c>
      <c r="E320" s="23" t="s">
        <v>1618</v>
      </c>
      <c r="F320" s="19" t="s">
        <v>1619</v>
      </c>
      <c r="G320" s="20">
        <v>66</v>
      </c>
      <c r="H320" s="20" t="s">
        <v>137</v>
      </c>
      <c r="I320" s="20" t="s">
        <v>1535</v>
      </c>
      <c r="J320" s="20">
        <v>7720301</v>
      </c>
      <c r="K320" s="20">
        <v>6</v>
      </c>
      <c r="L320" s="20" t="s">
        <v>1525</v>
      </c>
      <c r="M320" s="17">
        <v>6</v>
      </c>
      <c r="N320" s="20">
        <v>6</v>
      </c>
      <c r="O320" s="20" t="s">
        <v>75</v>
      </c>
      <c r="P320" s="20" t="s">
        <v>76</v>
      </c>
      <c r="Q320" s="20" t="s">
        <v>69</v>
      </c>
      <c r="R320" s="22">
        <v>1956000</v>
      </c>
      <c r="S320" s="22">
        <f>R320*70%</f>
        <v>1369200</v>
      </c>
      <c r="T320" s="22">
        <v>5</v>
      </c>
      <c r="U320" s="22">
        <f t="shared" si="7"/>
        <v>6846000</v>
      </c>
      <c r="V320" s="58" t="s">
        <v>1620</v>
      </c>
      <c r="W320" s="58" t="s">
        <v>1621</v>
      </c>
      <c r="X320" s="58" t="s">
        <v>1622</v>
      </c>
      <c r="Y320" s="59" t="s">
        <v>42</v>
      </c>
    </row>
    <row r="321" spans="1:25" ht="29.25" customHeight="1" x14ac:dyDescent="0.25">
      <c r="A321" s="17">
        <v>313</v>
      </c>
      <c r="B321" s="17">
        <v>23</v>
      </c>
      <c r="C321" s="17">
        <v>757</v>
      </c>
      <c r="D321" s="17">
        <v>705</v>
      </c>
      <c r="E321" s="23" t="s">
        <v>1623</v>
      </c>
      <c r="F321" s="19" t="s">
        <v>1624</v>
      </c>
      <c r="G321" s="20">
        <v>66</v>
      </c>
      <c r="H321" s="20" t="s">
        <v>137</v>
      </c>
      <c r="I321" s="20" t="s">
        <v>1535</v>
      </c>
      <c r="J321" s="20">
        <v>7720301</v>
      </c>
      <c r="K321" s="20">
        <v>6</v>
      </c>
      <c r="L321" s="20" t="s">
        <v>1525</v>
      </c>
      <c r="M321" s="17">
        <v>6</v>
      </c>
      <c r="N321" s="20">
        <v>6</v>
      </c>
      <c r="O321" s="20" t="s">
        <v>75</v>
      </c>
      <c r="P321" s="20" t="s">
        <v>76</v>
      </c>
      <c r="Q321" s="20" t="s">
        <v>69</v>
      </c>
      <c r="R321" s="22">
        <v>1956000</v>
      </c>
      <c r="S321" s="22">
        <f>R321*70%</f>
        <v>1369200</v>
      </c>
      <c r="T321" s="22">
        <v>5</v>
      </c>
      <c r="U321" s="22">
        <f t="shared" si="7"/>
        <v>6846000</v>
      </c>
      <c r="V321" s="58" t="s">
        <v>1625</v>
      </c>
      <c r="W321" s="58" t="s">
        <v>1626</v>
      </c>
      <c r="X321" s="61" t="s">
        <v>1627</v>
      </c>
      <c r="Y321" s="59" t="s">
        <v>42</v>
      </c>
    </row>
    <row r="322" spans="1:25" ht="29.25" customHeight="1" x14ac:dyDescent="0.25">
      <c r="A322" s="17">
        <v>314</v>
      </c>
      <c r="B322" s="17">
        <v>24</v>
      </c>
      <c r="C322" s="17">
        <v>758</v>
      </c>
      <c r="D322" s="17">
        <v>706</v>
      </c>
      <c r="E322" s="23" t="s">
        <v>1628</v>
      </c>
      <c r="F322" s="19" t="s">
        <v>1629</v>
      </c>
      <c r="G322" s="20">
        <v>66</v>
      </c>
      <c r="H322" s="20" t="s">
        <v>137</v>
      </c>
      <c r="I322" s="20" t="s">
        <v>1535</v>
      </c>
      <c r="J322" s="20">
        <v>7720301</v>
      </c>
      <c r="K322" s="20">
        <v>6</v>
      </c>
      <c r="L322" s="20" t="s">
        <v>1525</v>
      </c>
      <c r="M322" s="17">
        <v>6</v>
      </c>
      <c r="N322" s="20">
        <v>6</v>
      </c>
      <c r="O322" s="17" t="s">
        <v>47</v>
      </c>
      <c r="P322" s="17" t="s">
        <v>48</v>
      </c>
      <c r="Q322" s="20" t="s">
        <v>957</v>
      </c>
      <c r="R322" s="22">
        <v>1956000</v>
      </c>
      <c r="S322" s="22">
        <f>50%*R322</f>
        <v>978000</v>
      </c>
      <c r="T322" s="22">
        <v>5</v>
      </c>
      <c r="U322" s="22">
        <f t="shared" si="7"/>
        <v>4890000</v>
      </c>
      <c r="V322" s="63">
        <v>40307010568</v>
      </c>
      <c r="W322" s="64" t="s">
        <v>1630</v>
      </c>
      <c r="X322" s="65" t="s">
        <v>1631</v>
      </c>
      <c r="Y322" s="66" t="s">
        <v>42</v>
      </c>
    </row>
    <row r="323" spans="1:25" ht="29.25" customHeight="1" x14ac:dyDescent="0.25">
      <c r="A323" s="17">
        <v>315</v>
      </c>
      <c r="B323" s="17">
        <v>25</v>
      </c>
      <c r="C323" s="17">
        <v>759</v>
      </c>
      <c r="D323" s="17">
        <v>707</v>
      </c>
      <c r="E323" s="23" t="s">
        <v>1632</v>
      </c>
      <c r="F323" s="19" t="s">
        <v>1633</v>
      </c>
      <c r="G323" s="20">
        <v>66</v>
      </c>
      <c r="H323" s="20" t="s">
        <v>137</v>
      </c>
      <c r="I323" s="20" t="s">
        <v>1535</v>
      </c>
      <c r="J323" s="20">
        <v>7720301</v>
      </c>
      <c r="K323" s="20">
        <v>6</v>
      </c>
      <c r="L323" s="20" t="s">
        <v>1525</v>
      </c>
      <c r="M323" s="17">
        <v>6</v>
      </c>
      <c r="N323" s="20">
        <v>6</v>
      </c>
      <c r="O323" s="20" t="s">
        <v>75</v>
      </c>
      <c r="P323" s="20" t="s">
        <v>76</v>
      </c>
      <c r="Q323" s="20" t="s">
        <v>655</v>
      </c>
      <c r="R323" s="22">
        <v>1956000</v>
      </c>
      <c r="S323" s="22">
        <f>R323*70%</f>
        <v>1369200</v>
      </c>
      <c r="T323" s="22">
        <v>5</v>
      </c>
      <c r="U323" s="22">
        <f t="shared" si="7"/>
        <v>6846000</v>
      </c>
      <c r="V323" s="58" t="s">
        <v>1634</v>
      </c>
      <c r="W323" s="58" t="s">
        <v>1635</v>
      </c>
      <c r="X323" s="58" t="s">
        <v>1636</v>
      </c>
      <c r="Y323" s="59" t="s">
        <v>42</v>
      </c>
    </row>
    <row r="324" spans="1:25" ht="29.25" customHeight="1" x14ac:dyDescent="0.25">
      <c r="A324" s="17">
        <v>316</v>
      </c>
      <c r="B324" s="17">
        <v>26</v>
      </c>
      <c r="C324" s="17">
        <v>754</v>
      </c>
      <c r="D324" s="17">
        <v>702</v>
      </c>
      <c r="E324" s="23" t="s">
        <v>1637</v>
      </c>
      <c r="F324" s="19" t="s">
        <v>1638</v>
      </c>
      <c r="G324" s="20">
        <v>66</v>
      </c>
      <c r="H324" s="20" t="s">
        <v>137</v>
      </c>
      <c r="I324" s="20" t="s">
        <v>1535</v>
      </c>
      <c r="J324" s="20">
        <v>7720301</v>
      </c>
      <c r="K324" s="20">
        <v>6</v>
      </c>
      <c r="L324" s="20" t="s">
        <v>1525</v>
      </c>
      <c r="M324" s="17">
        <v>6</v>
      </c>
      <c r="N324" s="20">
        <v>6</v>
      </c>
      <c r="O324" s="20" t="s">
        <v>75</v>
      </c>
      <c r="P324" s="20" t="s">
        <v>76</v>
      </c>
      <c r="Q324" s="20" t="s">
        <v>69</v>
      </c>
      <c r="R324" s="22">
        <v>1956000</v>
      </c>
      <c r="S324" s="22">
        <f>R324*70%</f>
        <v>1369200</v>
      </c>
      <c r="T324" s="22">
        <v>5</v>
      </c>
      <c r="U324" s="22">
        <f t="shared" si="7"/>
        <v>6846000</v>
      </c>
      <c r="V324" s="67" t="s">
        <v>1639</v>
      </c>
      <c r="W324" s="67" t="s">
        <v>1640</v>
      </c>
      <c r="X324" s="67" t="s">
        <v>1641</v>
      </c>
      <c r="Y324" s="59" t="s">
        <v>42</v>
      </c>
    </row>
    <row r="325" spans="1:25" ht="29.25" customHeight="1" x14ac:dyDescent="0.25">
      <c r="A325" s="17">
        <v>317</v>
      </c>
      <c r="B325" s="17">
        <v>27</v>
      </c>
      <c r="C325" s="17">
        <v>762</v>
      </c>
      <c r="D325" s="17">
        <v>710</v>
      </c>
      <c r="E325" s="23" t="s">
        <v>1642</v>
      </c>
      <c r="F325" s="19" t="s">
        <v>1643</v>
      </c>
      <c r="G325" s="20">
        <v>66</v>
      </c>
      <c r="H325" s="20" t="s">
        <v>137</v>
      </c>
      <c r="I325" s="20" t="s">
        <v>1535</v>
      </c>
      <c r="J325" s="20">
        <v>7720301</v>
      </c>
      <c r="K325" s="20">
        <v>6</v>
      </c>
      <c r="L325" s="20" t="s">
        <v>1525</v>
      </c>
      <c r="M325" s="17">
        <v>6</v>
      </c>
      <c r="N325" s="20">
        <v>6</v>
      </c>
      <c r="O325" s="20" t="s">
        <v>75</v>
      </c>
      <c r="P325" s="20" t="s">
        <v>76</v>
      </c>
      <c r="Q325" s="20" t="s">
        <v>1610</v>
      </c>
      <c r="R325" s="22">
        <v>1956000</v>
      </c>
      <c r="S325" s="22">
        <f>R325*70%</f>
        <v>1369200</v>
      </c>
      <c r="T325" s="22">
        <v>5</v>
      </c>
      <c r="U325" s="22">
        <f t="shared" si="7"/>
        <v>6846000</v>
      </c>
      <c r="V325" s="58" t="s">
        <v>1644</v>
      </c>
      <c r="W325" s="58" t="s">
        <v>1645</v>
      </c>
      <c r="X325" s="58" t="s">
        <v>1646</v>
      </c>
      <c r="Y325" s="59" t="s">
        <v>42</v>
      </c>
    </row>
    <row r="326" spans="1:25" ht="29.25" customHeight="1" x14ac:dyDescent="0.25">
      <c r="A326" s="17">
        <v>318</v>
      </c>
      <c r="B326" s="17">
        <v>28</v>
      </c>
      <c r="C326" s="17">
        <v>763</v>
      </c>
      <c r="D326" s="17">
        <v>711</v>
      </c>
      <c r="E326" s="23" t="s">
        <v>1647</v>
      </c>
      <c r="F326" s="19" t="s">
        <v>1648</v>
      </c>
      <c r="G326" s="20">
        <v>66</v>
      </c>
      <c r="H326" s="20" t="s">
        <v>357</v>
      </c>
      <c r="I326" s="20" t="s">
        <v>1535</v>
      </c>
      <c r="J326" s="20">
        <v>7720301</v>
      </c>
      <c r="K326" s="20">
        <v>6</v>
      </c>
      <c r="L326" s="20" t="s">
        <v>1525</v>
      </c>
      <c r="M326" s="17">
        <v>6</v>
      </c>
      <c r="N326" s="20">
        <v>6</v>
      </c>
      <c r="O326" s="20" t="s">
        <v>75</v>
      </c>
      <c r="P326" s="20" t="s">
        <v>76</v>
      </c>
      <c r="Q326" s="20" t="s">
        <v>69</v>
      </c>
      <c r="R326" s="22">
        <v>1956000</v>
      </c>
      <c r="S326" s="22">
        <f>R326*70%</f>
        <v>1369200</v>
      </c>
      <c r="T326" s="22">
        <v>5</v>
      </c>
      <c r="U326" s="22">
        <f t="shared" si="7"/>
        <v>6846000</v>
      </c>
      <c r="V326" s="58" t="s">
        <v>1649</v>
      </c>
      <c r="W326" s="58" t="s">
        <v>1650</v>
      </c>
      <c r="X326" s="59">
        <v>8806842209</v>
      </c>
      <c r="Y326" s="59" t="s">
        <v>42</v>
      </c>
    </row>
    <row r="327" spans="1:25" ht="29.25" customHeight="1" x14ac:dyDescent="0.25">
      <c r="A327" s="17">
        <v>319</v>
      </c>
      <c r="B327" s="17">
        <v>29</v>
      </c>
      <c r="C327" s="17">
        <v>764</v>
      </c>
      <c r="D327" s="17">
        <v>712</v>
      </c>
      <c r="E327" s="23" t="s">
        <v>1651</v>
      </c>
      <c r="F327" s="19" t="s">
        <v>1652</v>
      </c>
      <c r="G327" s="20">
        <v>66</v>
      </c>
      <c r="H327" s="20" t="s">
        <v>137</v>
      </c>
      <c r="I327" s="20" t="s">
        <v>1535</v>
      </c>
      <c r="J327" s="20">
        <v>7720301</v>
      </c>
      <c r="K327" s="20">
        <v>6</v>
      </c>
      <c r="L327" s="20" t="s">
        <v>1525</v>
      </c>
      <c r="M327" s="17">
        <v>6</v>
      </c>
      <c r="N327" s="20">
        <v>6</v>
      </c>
      <c r="O327" s="17" t="s">
        <v>116</v>
      </c>
      <c r="P327" s="20" t="s">
        <v>38</v>
      </c>
      <c r="Q327" s="20"/>
      <c r="R327" s="22">
        <v>1956000</v>
      </c>
      <c r="S327" s="22">
        <f>R327</f>
        <v>1956000</v>
      </c>
      <c r="T327" s="22">
        <v>5</v>
      </c>
      <c r="U327" s="22">
        <f t="shared" si="7"/>
        <v>9780000</v>
      </c>
      <c r="V327" s="63">
        <v>40307002664</v>
      </c>
      <c r="W327" s="64" t="s">
        <v>1653</v>
      </c>
      <c r="X327" s="68" t="s">
        <v>1654</v>
      </c>
      <c r="Y327" s="66" t="s">
        <v>42</v>
      </c>
    </row>
    <row r="328" spans="1:25" s="16" customFormat="1" ht="29.25" customHeight="1" x14ac:dyDescent="0.25">
      <c r="A328" s="17">
        <v>320</v>
      </c>
      <c r="B328" s="17">
        <v>30</v>
      </c>
      <c r="C328" s="17">
        <v>755</v>
      </c>
      <c r="D328" s="17">
        <v>703</v>
      </c>
      <c r="E328" s="23" t="s">
        <v>1655</v>
      </c>
      <c r="F328" s="19" t="s">
        <v>1656</v>
      </c>
      <c r="G328" s="20">
        <v>66</v>
      </c>
      <c r="H328" s="20" t="s">
        <v>357</v>
      </c>
      <c r="I328" s="20" t="s">
        <v>1535</v>
      </c>
      <c r="J328" s="20">
        <v>7720301</v>
      </c>
      <c r="K328" s="20">
        <v>6</v>
      </c>
      <c r="L328" s="20" t="s">
        <v>1525</v>
      </c>
      <c r="M328" s="17">
        <v>6</v>
      </c>
      <c r="N328" s="20">
        <v>6</v>
      </c>
      <c r="O328" s="20" t="s">
        <v>75</v>
      </c>
      <c r="P328" s="20" t="s">
        <v>76</v>
      </c>
      <c r="Q328" s="20" t="s">
        <v>69</v>
      </c>
      <c r="R328" s="22">
        <v>1956000</v>
      </c>
      <c r="S328" s="22">
        <f>R328*70%</f>
        <v>1369200</v>
      </c>
      <c r="T328" s="22">
        <v>5</v>
      </c>
      <c r="U328" s="22">
        <f t="shared" si="7"/>
        <v>6846000</v>
      </c>
      <c r="V328" s="58" t="s">
        <v>1657</v>
      </c>
      <c r="W328" s="58" t="s">
        <v>1658</v>
      </c>
      <c r="X328" s="69" t="s">
        <v>1659</v>
      </c>
      <c r="Y328" s="59" t="s">
        <v>102</v>
      </c>
    </row>
    <row r="329" spans="1:25" ht="29.25" customHeight="1" x14ac:dyDescent="0.25">
      <c r="A329" s="17">
        <v>321</v>
      </c>
      <c r="B329" s="17">
        <v>31</v>
      </c>
      <c r="C329" s="17">
        <v>761</v>
      </c>
      <c r="D329" s="17">
        <v>709</v>
      </c>
      <c r="E329" s="23" t="s">
        <v>1660</v>
      </c>
      <c r="F329" s="19" t="s">
        <v>1661</v>
      </c>
      <c r="G329" s="20">
        <v>66</v>
      </c>
      <c r="H329" s="20" t="s">
        <v>137</v>
      </c>
      <c r="I329" s="20" t="s">
        <v>1535</v>
      </c>
      <c r="J329" s="20">
        <v>7720301</v>
      </c>
      <c r="K329" s="20">
        <v>6</v>
      </c>
      <c r="L329" s="20" t="s">
        <v>1525</v>
      </c>
      <c r="M329" s="17">
        <v>6</v>
      </c>
      <c r="N329" s="20">
        <v>6</v>
      </c>
      <c r="O329" s="20" t="s">
        <v>62</v>
      </c>
      <c r="P329" s="20" t="s">
        <v>38</v>
      </c>
      <c r="Q329" s="20" t="s">
        <v>655</v>
      </c>
      <c r="R329" s="22">
        <v>1956000</v>
      </c>
      <c r="S329" s="22">
        <f>R329</f>
        <v>1956000</v>
      </c>
      <c r="T329" s="22">
        <v>5</v>
      </c>
      <c r="U329" s="22">
        <f t="shared" ref="U329:U372" si="9">S329*T329</f>
        <v>9780000</v>
      </c>
      <c r="V329" s="59">
        <v>40307008105</v>
      </c>
      <c r="W329" s="58" t="s">
        <v>1662</v>
      </c>
      <c r="X329" s="58" t="s">
        <v>1663</v>
      </c>
      <c r="Y329" s="59" t="s">
        <v>42</v>
      </c>
    </row>
    <row r="330" spans="1:25" ht="29.25" customHeight="1" x14ac:dyDescent="0.25">
      <c r="A330" s="17">
        <v>322</v>
      </c>
      <c r="B330" s="17">
        <v>32</v>
      </c>
      <c r="C330" s="17">
        <v>800</v>
      </c>
      <c r="D330" s="17">
        <v>748</v>
      </c>
      <c r="E330" s="35" t="s">
        <v>1664</v>
      </c>
      <c r="F330" s="36" t="s">
        <v>1665</v>
      </c>
      <c r="G330" s="37">
        <v>66</v>
      </c>
      <c r="H330" s="37" t="s">
        <v>357</v>
      </c>
      <c r="I330" s="37" t="s">
        <v>1535</v>
      </c>
      <c r="J330" s="37">
        <v>7720301</v>
      </c>
      <c r="K330" s="37">
        <v>6</v>
      </c>
      <c r="L330" s="37" t="s">
        <v>1525</v>
      </c>
      <c r="M330" s="17">
        <v>6</v>
      </c>
      <c r="N330" s="37">
        <v>6</v>
      </c>
      <c r="O330" s="37" t="s">
        <v>62</v>
      </c>
      <c r="P330" s="37" t="s">
        <v>38</v>
      </c>
      <c r="Q330" s="37" t="s">
        <v>1610</v>
      </c>
      <c r="R330" s="22">
        <v>1956000</v>
      </c>
      <c r="S330" s="22">
        <f>R330</f>
        <v>1956000</v>
      </c>
      <c r="T330" s="22">
        <v>5</v>
      </c>
      <c r="U330" s="22">
        <f t="shared" si="9"/>
        <v>9780000</v>
      </c>
      <c r="V330" s="59">
        <v>40207015358</v>
      </c>
      <c r="W330" s="58" t="s">
        <v>1666</v>
      </c>
      <c r="X330" s="58" t="s">
        <v>1667</v>
      </c>
      <c r="Y330" s="59" t="s">
        <v>42</v>
      </c>
    </row>
    <row r="331" spans="1:25" ht="29.25" customHeight="1" x14ac:dyDescent="0.25">
      <c r="A331" s="17">
        <v>323</v>
      </c>
      <c r="B331" s="17">
        <v>1</v>
      </c>
      <c r="C331" s="17">
        <v>340</v>
      </c>
      <c r="D331" s="17">
        <v>296</v>
      </c>
      <c r="E331" s="17" t="s">
        <v>1668</v>
      </c>
      <c r="F331" s="27" t="s">
        <v>1669</v>
      </c>
      <c r="G331" s="17">
        <v>63</v>
      </c>
      <c r="H331" s="17" t="s">
        <v>148</v>
      </c>
      <c r="I331" s="17" t="s">
        <v>1670</v>
      </c>
      <c r="J331" s="17">
        <v>7220201</v>
      </c>
      <c r="K331" s="17">
        <v>7</v>
      </c>
      <c r="L331" s="17" t="s">
        <v>1671</v>
      </c>
      <c r="M331" s="17">
        <v>7</v>
      </c>
      <c r="N331" s="17">
        <v>7</v>
      </c>
      <c r="O331" s="17" t="s">
        <v>75</v>
      </c>
      <c r="P331" s="17" t="s">
        <v>76</v>
      </c>
      <c r="Q331" s="17" t="s">
        <v>69</v>
      </c>
      <c r="R331" s="22">
        <v>1565000</v>
      </c>
      <c r="S331" s="22">
        <f>R331*70%</f>
        <v>1095500</v>
      </c>
      <c r="T331" s="22">
        <v>5</v>
      </c>
      <c r="U331" s="22">
        <f t="shared" si="9"/>
        <v>5477500</v>
      </c>
      <c r="V331" s="30" t="s">
        <v>1672</v>
      </c>
      <c r="W331" s="30" t="s">
        <v>1673</v>
      </c>
      <c r="X331" s="51">
        <v>105877359674</v>
      </c>
      <c r="Y331" s="17" t="s">
        <v>52</v>
      </c>
    </row>
    <row r="332" spans="1:25" ht="29.25" customHeight="1" x14ac:dyDescent="0.25">
      <c r="A332" s="17">
        <v>324</v>
      </c>
      <c r="B332" s="17">
        <v>2</v>
      </c>
      <c r="C332" s="17">
        <v>341</v>
      </c>
      <c r="D332" s="17">
        <v>297</v>
      </c>
      <c r="E332" s="17" t="s">
        <v>1674</v>
      </c>
      <c r="F332" s="27" t="s">
        <v>1675</v>
      </c>
      <c r="G332" s="17">
        <v>63</v>
      </c>
      <c r="H332" s="17" t="s">
        <v>183</v>
      </c>
      <c r="I332" s="17" t="s">
        <v>1670</v>
      </c>
      <c r="J332" s="17">
        <v>7220201</v>
      </c>
      <c r="K332" s="17">
        <v>7</v>
      </c>
      <c r="L332" s="17" t="s">
        <v>1671</v>
      </c>
      <c r="M332" s="17">
        <v>7</v>
      </c>
      <c r="N332" s="17">
        <v>7</v>
      </c>
      <c r="O332" s="17" t="s">
        <v>75</v>
      </c>
      <c r="P332" s="17" t="s">
        <v>76</v>
      </c>
      <c r="Q332" s="17" t="s">
        <v>69</v>
      </c>
      <c r="R332" s="22">
        <v>1565000</v>
      </c>
      <c r="S332" s="22">
        <f>R332*70%</f>
        <v>1095500</v>
      </c>
      <c r="T332" s="22">
        <v>5</v>
      </c>
      <c r="U332" s="22">
        <f t="shared" si="9"/>
        <v>5477500</v>
      </c>
      <c r="V332" s="17">
        <v>187941284</v>
      </c>
      <c r="W332" s="17" t="s">
        <v>1676</v>
      </c>
      <c r="X332" s="30" t="s">
        <v>1677</v>
      </c>
      <c r="Y332" s="17" t="s">
        <v>52</v>
      </c>
    </row>
    <row r="333" spans="1:25" ht="29.25" customHeight="1" x14ac:dyDescent="0.25">
      <c r="A333" s="17">
        <v>325</v>
      </c>
      <c r="B333" s="17">
        <v>3</v>
      </c>
      <c r="C333" s="17">
        <v>342</v>
      </c>
      <c r="D333" s="17">
        <v>298</v>
      </c>
      <c r="E333" s="17" t="s">
        <v>1678</v>
      </c>
      <c r="F333" s="27" t="s">
        <v>1679</v>
      </c>
      <c r="G333" s="17">
        <v>63</v>
      </c>
      <c r="H333" s="17" t="s">
        <v>148</v>
      </c>
      <c r="I333" s="17" t="s">
        <v>1670</v>
      </c>
      <c r="J333" s="17">
        <v>7220201</v>
      </c>
      <c r="K333" s="17">
        <v>7</v>
      </c>
      <c r="L333" s="17" t="s">
        <v>1671</v>
      </c>
      <c r="M333" s="17">
        <v>7</v>
      </c>
      <c r="N333" s="17">
        <v>7</v>
      </c>
      <c r="O333" s="17" t="s">
        <v>75</v>
      </c>
      <c r="P333" s="17" t="s">
        <v>76</v>
      </c>
      <c r="Q333" s="17" t="s">
        <v>69</v>
      </c>
      <c r="R333" s="22">
        <v>1565000</v>
      </c>
      <c r="S333" s="22">
        <f>R333*70%</f>
        <v>1095500</v>
      </c>
      <c r="T333" s="22">
        <v>5</v>
      </c>
      <c r="U333" s="22">
        <f t="shared" si="9"/>
        <v>5477500</v>
      </c>
      <c r="V333" s="17" t="s">
        <v>1680</v>
      </c>
      <c r="W333" s="17" t="s">
        <v>1681</v>
      </c>
      <c r="X333" s="30" t="s">
        <v>1682</v>
      </c>
      <c r="Y333" s="17" t="s">
        <v>52</v>
      </c>
    </row>
    <row r="334" spans="1:25" ht="29.25" customHeight="1" x14ac:dyDescent="0.25">
      <c r="A334" s="17">
        <v>326</v>
      </c>
      <c r="B334" s="17">
        <v>4</v>
      </c>
      <c r="C334" s="17">
        <v>528</v>
      </c>
      <c r="D334" s="17">
        <v>476</v>
      </c>
      <c r="E334" s="30" t="s">
        <v>1683</v>
      </c>
      <c r="F334" s="27" t="s">
        <v>1684</v>
      </c>
      <c r="G334" s="17">
        <v>63</v>
      </c>
      <c r="H334" s="17" t="s">
        <v>156</v>
      </c>
      <c r="I334" s="17" t="s">
        <v>1670</v>
      </c>
      <c r="J334" s="17">
        <v>7220201</v>
      </c>
      <c r="K334" s="17">
        <v>7</v>
      </c>
      <c r="L334" s="17" t="s">
        <v>1671</v>
      </c>
      <c r="M334" s="17">
        <v>7</v>
      </c>
      <c r="N334" s="17">
        <v>7</v>
      </c>
      <c r="O334" s="17" t="s">
        <v>47</v>
      </c>
      <c r="P334" s="17" t="s">
        <v>48</v>
      </c>
      <c r="Q334" s="17"/>
      <c r="R334" s="22">
        <v>1565000</v>
      </c>
      <c r="S334" s="22">
        <f>50%*R334</f>
        <v>782500</v>
      </c>
      <c r="T334" s="22">
        <v>5</v>
      </c>
      <c r="U334" s="22">
        <f t="shared" si="9"/>
        <v>3912500</v>
      </c>
      <c r="V334" s="30" t="s">
        <v>1685</v>
      </c>
      <c r="W334" s="30" t="s">
        <v>1686</v>
      </c>
      <c r="X334" s="17" t="s">
        <v>1686</v>
      </c>
      <c r="Y334" s="17" t="s">
        <v>102</v>
      </c>
    </row>
    <row r="335" spans="1:25" ht="29.25" customHeight="1" x14ac:dyDescent="0.25">
      <c r="A335" s="17">
        <v>327</v>
      </c>
      <c r="B335" s="17">
        <v>5</v>
      </c>
      <c r="C335" s="38">
        <v>674</v>
      </c>
      <c r="D335" s="38">
        <v>622</v>
      </c>
      <c r="E335" s="32" t="s">
        <v>1687</v>
      </c>
      <c r="F335" s="39" t="s">
        <v>1688</v>
      </c>
      <c r="G335" s="17">
        <v>63</v>
      </c>
      <c r="H335" s="17" t="s">
        <v>148</v>
      </c>
      <c r="I335" s="17" t="s">
        <v>1670</v>
      </c>
      <c r="J335" s="17">
        <v>7220201</v>
      </c>
      <c r="K335" s="17">
        <v>7</v>
      </c>
      <c r="L335" s="17" t="s">
        <v>1671</v>
      </c>
      <c r="M335" s="25">
        <v>7</v>
      </c>
      <c r="N335" s="17">
        <v>7</v>
      </c>
      <c r="O335" s="17" t="s">
        <v>75</v>
      </c>
      <c r="P335" s="17" t="s">
        <v>76</v>
      </c>
      <c r="Q335" s="17" t="s">
        <v>1689</v>
      </c>
      <c r="R335" s="22">
        <v>1565000</v>
      </c>
      <c r="S335" s="22">
        <f>R335*70%</f>
        <v>1095500</v>
      </c>
      <c r="T335" s="22">
        <v>5</v>
      </c>
      <c r="U335" s="22">
        <f t="shared" si="9"/>
        <v>5477500</v>
      </c>
      <c r="V335" s="70">
        <v>187998617</v>
      </c>
      <c r="W335" s="71" t="s">
        <v>1690</v>
      </c>
      <c r="X335" s="72">
        <v>104877359675</v>
      </c>
      <c r="Y335" s="70" t="s">
        <v>52</v>
      </c>
    </row>
    <row r="336" spans="1:25" ht="29.25" customHeight="1" x14ac:dyDescent="0.25">
      <c r="A336" s="17">
        <v>328</v>
      </c>
      <c r="B336" s="17">
        <v>6</v>
      </c>
      <c r="C336" s="17">
        <v>518</v>
      </c>
      <c r="D336" s="17">
        <v>466</v>
      </c>
      <c r="E336" s="30" t="s">
        <v>1691</v>
      </c>
      <c r="F336" s="27" t="s">
        <v>1692</v>
      </c>
      <c r="G336" s="17">
        <v>64</v>
      </c>
      <c r="H336" s="17" t="s">
        <v>219</v>
      </c>
      <c r="I336" s="17" t="s">
        <v>1670</v>
      </c>
      <c r="J336" s="17">
        <v>7220201</v>
      </c>
      <c r="K336" s="17">
        <v>7</v>
      </c>
      <c r="L336" s="17" t="s">
        <v>1671</v>
      </c>
      <c r="M336" s="17">
        <v>7</v>
      </c>
      <c r="N336" s="17">
        <v>7</v>
      </c>
      <c r="O336" s="17" t="s">
        <v>116</v>
      </c>
      <c r="P336" s="17" t="s">
        <v>38</v>
      </c>
      <c r="Q336" s="17"/>
      <c r="R336" s="22">
        <v>1565000</v>
      </c>
      <c r="S336" s="22">
        <f>R336</f>
        <v>1565000</v>
      </c>
      <c r="T336" s="22">
        <v>5</v>
      </c>
      <c r="U336" s="22">
        <f t="shared" si="9"/>
        <v>7825000</v>
      </c>
      <c r="V336" s="30" t="s">
        <v>1693</v>
      </c>
      <c r="W336" s="30" t="s">
        <v>1694</v>
      </c>
      <c r="X336" s="17">
        <v>4880671456</v>
      </c>
      <c r="Y336" s="17" t="s">
        <v>42</v>
      </c>
    </row>
    <row r="337" spans="1:25" ht="29.25" customHeight="1" x14ac:dyDescent="0.25">
      <c r="A337" s="17">
        <v>329</v>
      </c>
      <c r="B337" s="17">
        <v>7</v>
      </c>
      <c r="C337" s="17">
        <v>519</v>
      </c>
      <c r="D337" s="17">
        <v>467</v>
      </c>
      <c r="E337" s="30" t="s">
        <v>1695</v>
      </c>
      <c r="F337" s="27" t="s">
        <v>1696</v>
      </c>
      <c r="G337" s="17">
        <v>64</v>
      </c>
      <c r="H337" s="17" t="s">
        <v>219</v>
      </c>
      <c r="I337" s="17" t="s">
        <v>1670</v>
      </c>
      <c r="J337" s="17">
        <v>7220201</v>
      </c>
      <c r="K337" s="17">
        <v>7</v>
      </c>
      <c r="L337" s="17" t="s">
        <v>1671</v>
      </c>
      <c r="M337" s="17">
        <v>7</v>
      </c>
      <c r="N337" s="17">
        <v>7</v>
      </c>
      <c r="O337" s="17" t="s">
        <v>116</v>
      </c>
      <c r="P337" s="17" t="s">
        <v>38</v>
      </c>
      <c r="Q337" s="17"/>
      <c r="R337" s="22">
        <v>1565000</v>
      </c>
      <c r="S337" s="22">
        <f>R337</f>
        <v>1565000</v>
      </c>
      <c r="T337" s="22">
        <v>5</v>
      </c>
      <c r="U337" s="22">
        <f t="shared" si="9"/>
        <v>7825000</v>
      </c>
      <c r="V337" s="30" t="s">
        <v>1697</v>
      </c>
      <c r="W337" s="30" t="s">
        <v>1698</v>
      </c>
      <c r="X337" s="17">
        <v>8830405463</v>
      </c>
      <c r="Y337" s="17" t="s">
        <v>42</v>
      </c>
    </row>
    <row r="338" spans="1:25" ht="29.25" customHeight="1" x14ac:dyDescent="0.25">
      <c r="A338" s="17">
        <v>330</v>
      </c>
      <c r="B338" s="17">
        <v>8</v>
      </c>
      <c r="C338" s="17">
        <v>520</v>
      </c>
      <c r="D338" s="17">
        <v>468</v>
      </c>
      <c r="E338" s="30" t="s">
        <v>1699</v>
      </c>
      <c r="F338" s="27" t="s">
        <v>1700</v>
      </c>
      <c r="G338" s="17">
        <v>64</v>
      </c>
      <c r="H338" s="17" t="s">
        <v>246</v>
      </c>
      <c r="I338" s="17" t="s">
        <v>1670</v>
      </c>
      <c r="J338" s="17">
        <v>7220201</v>
      </c>
      <c r="K338" s="17">
        <v>7</v>
      </c>
      <c r="L338" s="17" t="s">
        <v>1671</v>
      </c>
      <c r="M338" s="17">
        <v>7</v>
      </c>
      <c r="N338" s="17">
        <v>7</v>
      </c>
      <c r="O338" s="17" t="s">
        <v>116</v>
      </c>
      <c r="P338" s="17" t="s">
        <v>38</v>
      </c>
      <c r="Q338" s="17"/>
      <c r="R338" s="22">
        <v>1565000</v>
      </c>
      <c r="S338" s="22">
        <f>R338</f>
        <v>1565000</v>
      </c>
      <c r="T338" s="22">
        <v>5</v>
      </c>
      <c r="U338" s="22">
        <f t="shared" si="9"/>
        <v>7825000</v>
      </c>
      <c r="V338" s="30" t="s">
        <v>1701</v>
      </c>
      <c r="W338" s="30" t="s">
        <v>1702</v>
      </c>
      <c r="X338" s="17">
        <v>8840405550</v>
      </c>
      <c r="Y338" s="17" t="s">
        <v>42</v>
      </c>
    </row>
    <row r="339" spans="1:25" ht="29.25" customHeight="1" x14ac:dyDescent="0.25">
      <c r="A339" s="17">
        <v>331</v>
      </c>
      <c r="B339" s="17">
        <v>9</v>
      </c>
      <c r="C339" s="17">
        <v>525</v>
      </c>
      <c r="D339" s="17">
        <v>473</v>
      </c>
      <c r="E339" s="30" t="s">
        <v>1703</v>
      </c>
      <c r="F339" s="27" t="s">
        <v>1704</v>
      </c>
      <c r="G339" s="17">
        <v>64</v>
      </c>
      <c r="H339" s="17" t="s">
        <v>230</v>
      </c>
      <c r="I339" s="17" t="s">
        <v>1670</v>
      </c>
      <c r="J339" s="17">
        <v>7220201</v>
      </c>
      <c r="K339" s="17">
        <v>7</v>
      </c>
      <c r="L339" s="17" t="s">
        <v>1671</v>
      </c>
      <c r="M339" s="17">
        <v>7</v>
      </c>
      <c r="N339" s="17">
        <v>7</v>
      </c>
      <c r="O339" s="17" t="s">
        <v>75</v>
      </c>
      <c r="P339" s="17" t="s">
        <v>76</v>
      </c>
      <c r="Q339" s="17" t="s">
        <v>69</v>
      </c>
      <c r="R339" s="22">
        <v>1565000</v>
      </c>
      <c r="S339" s="22">
        <f>R339*70%</f>
        <v>1095500</v>
      </c>
      <c r="T339" s="22">
        <v>5</v>
      </c>
      <c r="U339" s="22">
        <f t="shared" si="9"/>
        <v>5477500</v>
      </c>
      <c r="V339" s="30" t="s">
        <v>1705</v>
      </c>
      <c r="W339" s="30" t="s">
        <v>1706</v>
      </c>
      <c r="X339" s="17">
        <v>5130938756</v>
      </c>
      <c r="Y339" s="17" t="s">
        <v>42</v>
      </c>
    </row>
    <row r="340" spans="1:25" ht="29.25" customHeight="1" x14ac:dyDescent="0.25">
      <c r="A340" s="17">
        <v>332</v>
      </c>
      <c r="B340" s="17">
        <v>10</v>
      </c>
      <c r="C340" s="17">
        <v>526</v>
      </c>
      <c r="D340" s="17">
        <v>474</v>
      </c>
      <c r="E340" s="30" t="s">
        <v>1707</v>
      </c>
      <c r="F340" s="27" t="s">
        <v>1708</v>
      </c>
      <c r="G340" s="17">
        <v>64</v>
      </c>
      <c r="H340" s="17" t="s">
        <v>246</v>
      </c>
      <c r="I340" s="17" t="s">
        <v>1670</v>
      </c>
      <c r="J340" s="17">
        <v>7220201</v>
      </c>
      <c r="K340" s="17">
        <v>7</v>
      </c>
      <c r="L340" s="17" t="s">
        <v>1671</v>
      </c>
      <c r="M340" s="17">
        <v>7</v>
      </c>
      <c r="N340" s="17">
        <v>7</v>
      </c>
      <c r="O340" s="17" t="s">
        <v>75</v>
      </c>
      <c r="P340" s="17" t="s">
        <v>76</v>
      </c>
      <c r="Q340" s="17" t="s">
        <v>543</v>
      </c>
      <c r="R340" s="22">
        <v>1565000</v>
      </c>
      <c r="S340" s="22">
        <f>R340*70%</f>
        <v>1095500</v>
      </c>
      <c r="T340" s="22">
        <v>5</v>
      </c>
      <c r="U340" s="22">
        <f t="shared" si="9"/>
        <v>5477500</v>
      </c>
      <c r="V340" s="30" t="s">
        <v>1709</v>
      </c>
      <c r="W340" s="30" t="s">
        <v>1710</v>
      </c>
      <c r="X340" s="17">
        <v>8890405577</v>
      </c>
      <c r="Y340" s="17" t="s">
        <v>42</v>
      </c>
    </row>
    <row r="341" spans="1:25" ht="29.25" customHeight="1" x14ac:dyDescent="0.25">
      <c r="A341" s="17">
        <v>333</v>
      </c>
      <c r="B341" s="17">
        <v>11</v>
      </c>
      <c r="C341" s="17">
        <v>556</v>
      </c>
      <c r="D341" s="17">
        <v>504</v>
      </c>
      <c r="E341" s="32" t="s">
        <v>1711</v>
      </c>
      <c r="F341" s="27" t="s">
        <v>1712</v>
      </c>
      <c r="G341" s="17">
        <v>64</v>
      </c>
      <c r="H341" s="17" t="s">
        <v>224</v>
      </c>
      <c r="I341" s="17" t="s">
        <v>1670</v>
      </c>
      <c r="J341" s="17">
        <v>7220201</v>
      </c>
      <c r="K341" s="17">
        <v>7</v>
      </c>
      <c r="L341" s="17" t="s">
        <v>1671</v>
      </c>
      <c r="M341" s="17">
        <v>7</v>
      </c>
      <c r="N341" s="17">
        <v>7</v>
      </c>
      <c r="O341" s="17" t="s">
        <v>62</v>
      </c>
      <c r="P341" s="17" t="s">
        <v>38</v>
      </c>
      <c r="Q341" s="17" t="s">
        <v>69</v>
      </c>
      <c r="R341" s="22">
        <v>1565000</v>
      </c>
      <c r="S341" s="22">
        <f>R341</f>
        <v>1565000</v>
      </c>
      <c r="T341" s="22">
        <v>5</v>
      </c>
      <c r="U341" s="22">
        <f t="shared" si="9"/>
        <v>7825000</v>
      </c>
      <c r="V341" s="30" t="s">
        <v>1713</v>
      </c>
      <c r="W341" s="30" t="s">
        <v>1714</v>
      </c>
      <c r="X341" s="32" t="s">
        <v>1715</v>
      </c>
      <c r="Y341" s="17" t="s">
        <v>42</v>
      </c>
    </row>
    <row r="342" spans="1:25" ht="29.25" customHeight="1" x14ac:dyDescent="0.25">
      <c r="A342" s="17">
        <v>334</v>
      </c>
      <c r="B342" s="17">
        <v>12</v>
      </c>
      <c r="C342" s="17">
        <v>635</v>
      </c>
      <c r="D342" s="17">
        <v>583</v>
      </c>
      <c r="E342" s="28" t="s">
        <v>1716</v>
      </c>
      <c r="F342" s="27" t="s">
        <v>1717</v>
      </c>
      <c r="G342" s="17">
        <v>64</v>
      </c>
      <c r="H342" s="17" t="s">
        <v>230</v>
      </c>
      <c r="I342" s="17" t="s">
        <v>1670</v>
      </c>
      <c r="J342" s="17">
        <v>7220201</v>
      </c>
      <c r="K342" s="17">
        <v>7</v>
      </c>
      <c r="L342" s="17" t="s">
        <v>1671</v>
      </c>
      <c r="M342" s="17">
        <v>7</v>
      </c>
      <c r="N342" s="17">
        <v>7</v>
      </c>
      <c r="O342" s="17" t="s">
        <v>47</v>
      </c>
      <c r="P342" s="17" t="s">
        <v>48</v>
      </c>
      <c r="Q342" s="17"/>
      <c r="R342" s="22">
        <v>1565000</v>
      </c>
      <c r="S342" s="22">
        <f>50%*R342</f>
        <v>782500</v>
      </c>
      <c r="T342" s="22">
        <v>5</v>
      </c>
      <c r="U342" s="22">
        <f t="shared" si="9"/>
        <v>3912500</v>
      </c>
      <c r="V342" s="28" t="s">
        <v>1718</v>
      </c>
      <c r="W342" s="30" t="s">
        <v>1719</v>
      </c>
      <c r="X342" s="32">
        <v>102879278334</v>
      </c>
      <c r="Y342" s="17" t="s">
        <v>52</v>
      </c>
    </row>
    <row r="343" spans="1:25" ht="29.25" customHeight="1" x14ac:dyDescent="0.25">
      <c r="A343" s="17">
        <v>335</v>
      </c>
      <c r="B343" s="17">
        <v>13</v>
      </c>
      <c r="C343" s="38">
        <v>673</v>
      </c>
      <c r="D343" s="38">
        <v>621</v>
      </c>
      <c r="E343" s="32" t="s">
        <v>1720</v>
      </c>
      <c r="F343" s="39" t="s">
        <v>1721</v>
      </c>
      <c r="G343" s="17">
        <v>64</v>
      </c>
      <c r="H343" s="25" t="s">
        <v>224</v>
      </c>
      <c r="I343" s="17" t="s">
        <v>1670</v>
      </c>
      <c r="J343" s="17">
        <v>7220201</v>
      </c>
      <c r="K343" s="17">
        <v>7</v>
      </c>
      <c r="L343" s="17" t="s">
        <v>1671</v>
      </c>
      <c r="M343" s="25">
        <v>7</v>
      </c>
      <c r="N343" s="17">
        <v>7</v>
      </c>
      <c r="O343" s="17" t="s">
        <v>75</v>
      </c>
      <c r="P343" s="17" t="s">
        <v>76</v>
      </c>
      <c r="Q343" s="17" t="s">
        <v>69</v>
      </c>
      <c r="R343" s="22">
        <v>1565000</v>
      </c>
      <c r="S343" s="22">
        <f>R343*70%</f>
        <v>1095500</v>
      </c>
      <c r="T343" s="22">
        <v>5</v>
      </c>
      <c r="U343" s="22">
        <f t="shared" si="9"/>
        <v>5477500</v>
      </c>
      <c r="V343" s="30" t="s">
        <v>1722</v>
      </c>
      <c r="W343" s="32" t="s">
        <v>1723</v>
      </c>
      <c r="X343" s="48">
        <v>99892628888</v>
      </c>
      <c r="Y343" s="17" t="s">
        <v>1362</v>
      </c>
    </row>
    <row r="344" spans="1:25" ht="29.25" customHeight="1" x14ac:dyDescent="0.25">
      <c r="A344" s="17">
        <v>336</v>
      </c>
      <c r="B344" s="17">
        <v>14</v>
      </c>
      <c r="C344" s="17">
        <v>633</v>
      </c>
      <c r="D344" s="17">
        <v>581</v>
      </c>
      <c r="E344" s="29" t="s">
        <v>1724</v>
      </c>
      <c r="F344" s="27" t="s">
        <v>1725</v>
      </c>
      <c r="G344" s="17">
        <v>65</v>
      </c>
      <c r="H344" s="17" t="s">
        <v>268</v>
      </c>
      <c r="I344" s="17" t="s">
        <v>1670</v>
      </c>
      <c r="J344" s="17">
        <v>7220201</v>
      </c>
      <c r="K344" s="17">
        <v>7</v>
      </c>
      <c r="L344" s="17" t="s">
        <v>1671</v>
      </c>
      <c r="M344" s="17">
        <v>7</v>
      </c>
      <c r="N344" s="17">
        <v>7</v>
      </c>
      <c r="O344" s="17" t="s">
        <v>55</v>
      </c>
      <c r="P344" s="17" t="s">
        <v>38</v>
      </c>
      <c r="Q344" s="17"/>
      <c r="R344" s="22">
        <v>1565000</v>
      </c>
      <c r="S344" s="22">
        <f>R344</f>
        <v>1565000</v>
      </c>
      <c r="T344" s="22">
        <v>5</v>
      </c>
      <c r="U344" s="22">
        <f t="shared" si="9"/>
        <v>7825000</v>
      </c>
      <c r="V344" s="30" t="s">
        <v>1726</v>
      </c>
      <c r="W344" s="30" t="s">
        <v>1727</v>
      </c>
      <c r="X344" s="32">
        <v>8833640210</v>
      </c>
      <c r="Y344" s="17" t="s">
        <v>42</v>
      </c>
    </row>
    <row r="345" spans="1:25" ht="29.25" customHeight="1" x14ac:dyDescent="0.25">
      <c r="A345" s="17">
        <v>337</v>
      </c>
      <c r="B345" s="17">
        <v>15</v>
      </c>
      <c r="C345" s="17">
        <v>634</v>
      </c>
      <c r="D345" s="17">
        <v>582</v>
      </c>
      <c r="E345" s="29" t="s">
        <v>1728</v>
      </c>
      <c r="F345" s="27" t="s">
        <v>1729</v>
      </c>
      <c r="G345" s="17">
        <v>65</v>
      </c>
      <c r="H345" s="17" t="s">
        <v>273</v>
      </c>
      <c r="I345" s="17" t="s">
        <v>1670</v>
      </c>
      <c r="J345" s="17">
        <v>7220201</v>
      </c>
      <c r="K345" s="17">
        <v>7</v>
      </c>
      <c r="L345" s="17" t="s">
        <v>1671</v>
      </c>
      <c r="M345" s="17">
        <v>7</v>
      </c>
      <c r="N345" s="17">
        <v>7</v>
      </c>
      <c r="O345" s="17" t="s">
        <v>55</v>
      </c>
      <c r="P345" s="17" t="s">
        <v>38</v>
      </c>
      <c r="Q345" s="17"/>
      <c r="R345" s="22">
        <v>1565000</v>
      </c>
      <c r="S345" s="22">
        <f>R345</f>
        <v>1565000</v>
      </c>
      <c r="T345" s="22">
        <v>5</v>
      </c>
      <c r="U345" s="22">
        <f t="shared" si="9"/>
        <v>7825000</v>
      </c>
      <c r="V345" s="30" t="s">
        <v>1730</v>
      </c>
      <c r="W345" s="30" t="s">
        <v>1731</v>
      </c>
      <c r="X345" s="32">
        <v>106882994058</v>
      </c>
      <c r="Y345" s="17" t="s">
        <v>52</v>
      </c>
    </row>
    <row r="346" spans="1:25" ht="29.25" customHeight="1" x14ac:dyDescent="0.25">
      <c r="A346" s="17">
        <v>338</v>
      </c>
      <c r="B346" s="17">
        <v>16</v>
      </c>
      <c r="C346" s="17">
        <v>636</v>
      </c>
      <c r="D346" s="17">
        <v>584</v>
      </c>
      <c r="E346" s="29" t="s">
        <v>1732</v>
      </c>
      <c r="F346" s="27" t="s">
        <v>1733</v>
      </c>
      <c r="G346" s="17">
        <v>65</v>
      </c>
      <c r="H346" s="17" t="s">
        <v>649</v>
      </c>
      <c r="I346" s="17" t="s">
        <v>1670</v>
      </c>
      <c r="J346" s="17">
        <v>7220201</v>
      </c>
      <c r="K346" s="17">
        <v>7</v>
      </c>
      <c r="L346" s="17" t="s">
        <v>1671</v>
      </c>
      <c r="M346" s="17">
        <v>7</v>
      </c>
      <c r="N346" s="17">
        <v>7</v>
      </c>
      <c r="O346" s="17" t="s">
        <v>47</v>
      </c>
      <c r="P346" s="17" t="s">
        <v>48</v>
      </c>
      <c r="Q346" s="17"/>
      <c r="R346" s="22">
        <v>1565000</v>
      </c>
      <c r="S346" s="22">
        <f>50%*R346</f>
        <v>782500</v>
      </c>
      <c r="T346" s="22">
        <v>5</v>
      </c>
      <c r="U346" s="22">
        <f t="shared" si="9"/>
        <v>3912500</v>
      </c>
      <c r="V346" s="30" t="s">
        <v>1734</v>
      </c>
      <c r="W346" s="30" t="s">
        <v>1735</v>
      </c>
      <c r="X346" s="32">
        <v>100882993944</v>
      </c>
      <c r="Y346" s="17" t="s">
        <v>52</v>
      </c>
    </row>
    <row r="347" spans="1:25" ht="29.25" customHeight="1" x14ac:dyDescent="0.25">
      <c r="A347" s="17">
        <v>339</v>
      </c>
      <c r="B347" s="17">
        <v>17</v>
      </c>
      <c r="C347" s="17">
        <v>638</v>
      </c>
      <c r="D347" s="17">
        <v>586</v>
      </c>
      <c r="E347" s="29" t="s">
        <v>1736</v>
      </c>
      <c r="F347" s="27" t="s">
        <v>1737</v>
      </c>
      <c r="G347" s="17">
        <v>65</v>
      </c>
      <c r="H347" s="17" t="s">
        <v>290</v>
      </c>
      <c r="I347" s="17" t="s">
        <v>1670</v>
      </c>
      <c r="J347" s="17">
        <v>7220201</v>
      </c>
      <c r="K347" s="17">
        <v>7</v>
      </c>
      <c r="L347" s="17" t="s">
        <v>1671</v>
      </c>
      <c r="M347" s="17">
        <v>7</v>
      </c>
      <c r="N347" s="17">
        <v>7</v>
      </c>
      <c r="O347" s="17" t="s">
        <v>62</v>
      </c>
      <c r="P347" s="17" t="s">
        <v>38</v>
      </c>
      <c r="Q347" s="17" t="s">
        <v>69</v>
      </c>
      <c r="R347" s="22">
        <v>1565000</v>
      </c>
      <c r="S347" s="22">
        <f>R347</f>
        <v>1565000</v>
      </c>
      <c r="T347" s="22">
        <v>5</v>
      </c>
      <c r="U347" s="22">
        <f t="shared" si="9"/>
        <v>7825000</v>
      </c>
      <c r="V347" s="30" t="s">
        <v>1738</v>
      </c>
      <c r="W347" s="30" t="s">
        <v>1739</v>
      </c>
      <c r="X347" s="32">
        <v>104882993867</v>
      </c>
      <c r="Y347" s="17" t="s">
        <v>52</v>
      </c>
    </row>
    <row r="348" spans="1:25" ht="29.25" customHeight="1" x14ac:dyDescent="0.25">
      <c r="A348" s="17">
        <v>340</v>
      </c>
      <c r="B348" s="17">
        <v>18</v>
      </c>
      <c r="C348" s="17">
        <v>639</v>
      </c>
      <c r="D348" s="17">
        <v>587</v>
      </c>
      <c r="E348" s="29" t="s">
        <v>1740</v>
      </c>
      <c r="F348" s="27" t="s">
        <v>1741</v>
      </c>
      <c r="G348" s="17">
        <v>65</v>
      </c>
      <c r="H348" s="17" t="s">
        <v>273</v>
      </c>
      <c r="I348" s="17" t="s">
        <v>1670</v>
      </c>
      <c r="J348" s="17">
        <v>7220201</v>
      </c>
      <c r="K348" s="17">
        <v>7</v>
      </c>
      <c r="L348" s="17" t="s">
        <v>1671</v>
      </c>
      <c r="M348" s="17">
        <v>7</v>
      </c>
      <c r="N348" s="17">
        <v>7</v>
      </c>
      <c r="O348" s="17" t="s">
        <v>62</v>
      </c>
      <c r="P348" s="17" t="s">
        <v>38</v>
      </c>
      <c r="Q348" s="17" t="s">
        <v>69</v>
      </c>
      <c r="R348" s="22">
        <v>1565000</v>
      </c>
      <c r="S348" s="22">
        <f>R348</f>
        <v>1565000</v>
      </c>
      <c r="T348" s="22">
        <v>5</v>
      </c>
      <c r="U348" s="22">
        <f t="shared" si="9"/>
        <v>7825000</v>
      </c>
      <c r="V348" s="73" t="s">
        <v>1742</v>
      </c>
      <c r="W348" s="30" t="s">
        <v>1743</v>
      </c>
      <c r="X348" s="32">
        <v>104882994062</v>
      </c>
      <c r="Y348" s="17" t="s">
        <v>52</v>
      </c>
    </row>
    <row r="349" spans="1:25" ht="29.25" customHeight="1" x14ac:dyDescent="0.25">
      <c r="A349" s="17">
        <v>341</v>
      </c>
      <c r="B349" s="17">
        <v>19</v>
      </c>
      <c r="C349" s="17">
        <v>640</v>
      </c>
      <c r="D349" s="17">
        <v>588</v>
      </c>
      <c r="E349" s="29" t="s">
        <v>1744</v>
      </c>
      <c r="F349" s="27" t="s">
        <v>1745</v>
      </c>
      <c r="G349" s="17">
        <v>65</v>
      </c>
      <c r="H349" s="17" t="s">
        <v>273</v>
      </c>
      <c r="I349" s="17" t="s">
        <v>1670</v>
      </c>
      <c r="J349" s="17">
        <v>7220201</v>
      </c>
      <c r="K349" s="17">
        <v>7</v>
      </c>
      <c r="L349" s="17" t="s">
        <v>1671</v>
      </c>
      <c r="M349" s="17">
        <v>7</v>
      </c>
      <c r="N349" s="17">
        <v>7</v>
      </c>
      <c r="O349" s="17" t="s">
        <v>62</v>
      </c>
      <c r="P349" s="17" t="s">
        <v>38</v>
      </c>
      <c r="Q349" s="17" t="s">
        <v>69</v>
      </c>
      <c r="R349" s="22">
        <v>1565000</v>
      </c>
      <c r="S349" s="22">
        <f>R349</f>
        <v>1565000</v>
      </c>
      <c r="T349" s="22">
        <v>5</v>
      </c>
      <c r="U349" s="22">
        <f t="shared" si="9"/>
        <v>7825000</v>
      </c>
      <c r="V349" s="30" t="s">
        <v>1746</v>
      </c>
      <c r="W349" s="30" t="s">
        <v>1747</v>
      </c>
      <c r="X349" s="32">
        <v>107882994072</v>
      </c>
      <c r="Y349" s="17" t="s">
        <v>52</v>
      </c>
    </row>
    <row r="350" spans="1:25" ht="29.25" customHeight="1" x14ac:dyDescent="0.25">
      <c r="A350" s="17">
        <v>342</v>
      </c>
      <c r="B350" s="17">
        <v>20</v>
      </c>
      <c r="C350" s="17">
        <v>641</v>
      </c>
      <c r="D350" s="17">
        <v>589</v>
      </c>
      <c r="E350" s="29" t="s">
        <v>1748</v>
      </c>
      <c r="F350" s="27" t="s">
        <v>1749</v>
      </c>
      <c r="G350" s="17">
        <v>65</v>
      </c>
      <c r="H350" s="17" t="s">
        <v>273</v>
      </c>
      <c r="I350" s="17" t="s">
        <v>1670</v>
      </c>
      <c r="J350" s="17">
        <v>7220201</v>
      </c>
      <c r="K350" s="17">
        <v>7</v>
      </c>
      <c r="L350" s="17" t="s">
        <v>1671</v>
      </c>
      <c r="M350" s="17">
        <v>7</v>
      </c>
      <c r="N350" s="17">
        <v>7</v>
      </c>
      <c r="O350" s="17" t="s">
        <v>62</v>
      </c>
      <c r="P350" s="17" t="s">
        <v>38</v>
      </c>
      <c r="Q350" s="17" t="s">
        <v>69</v>
      </c>
      <c r="R350" s="22">
        <v>1565000</v>
      </c>
      <c r="S350" s="22">
        <f>R350</f>
        <v>1565000</v>
      </c>
      <c r="T350" s="22">
        <v>5</v>
      </c>
      <c r="U350" s="22">
        <f t="shared" si="9"/>
        <v>7825000</v>
      </c>
      <c r="V350" s="30" t="s">
        <v>1750</v>
      </c>
      <c r="W350" s="30" t="s">
        <v>1751</v>
      </c>
      <c r="X350" s="32">
        <v>8893640180</v>
      </c>
      <c r="Y350" s="17" t="s">
        <v>42</v>
      </c>
    </row>
    <row r="351" spans="1:25" ht="29.25" customHeight="1" x14ac:dyDescent="0.25">
      <c r="A351" s="17">
        <v>343</v>
      </c>
      <c r="B351" s="17">
        <v>21</v>
      </c>
      <c r="C351" s="17">
        <v>642</v>
      </c>
      <c r="D351" s="17">
        <v>590</v>
      </c>
      <c r="E351" s="29" t="s">
        <v>1752</v>
      </c>
      <c r="F351" s="27" t="s">
        <v>1753</v>
      </c>
      <c r="G351" s="17">
        <v>65</v>
      </c>
      <c r="H351" s="17" t="s">
        <v>418</v>
      </c>
      <c r="I351" s="17" t="s">
        <v>1670</v>
      </c>
      <c r="J351" s="17">
        <v>7220201</v>
      </c>
      <c r="K351" s="17">
        <v>7</v>
      </c>
      <c r="L351" s="17" t="s">
        <v>1671</v>
      </c>
      <c r="M351" s="17">
        <v>7</v>
      </c>
      <c r="N351" s="17">
        <v>7</v>
      </c>
      <c r="O351" s="17" t="s">
        <v>62</v>
      </c>
      <c r="P351" s="17" t="s">
        <v>38</v>
      </c>
      <c r="Q351" s="17" t="s">
        <v>69</v>
      </c>
      <c r="R351" s="22">
        <v>1565000</v>
      </c>
      <c r="S351" s="22">
        <f>R351</f>
        <v>1565000</v>
      </c>
      <c r="T351" s="22">
        <v>5</v>
      </c>
      <c r="U351" s="22">
        <f t="shared" si="9"/>
        <v>7825000</v>
      </c>
      <c r="V351" s="30" t="s">
        <v>1754</v>
      </c>
      <c r="W351" s="30" t="s">
        <v>1755</v>
      </c>
      <c r="X351" s="32">
        <v>105882993796</v>
      </c>
      <c r="Y351" s="17" t="s">
        <v>52</v>
      </c>
    </row>
    <row r="352" spans="1:25" ht="29.25" customHeight="1" x14ac:dyDescent="0.25">
      <c r="A352" s="17">
        <v>344</v>
      </c>
      <c r="B352" s="17">
        <v>22</v>
      </c>
      <c r="C352" s="17">
        <v>643</v>
      </c>
      <c r="D352" s="17">
        <v>591</v>
      </c>
      <c r="E352" s="29" t="s">
        <v>1756</v>
      </c>
      <c r="F352" s="27" t="s">
        <v>1757</v>
      </c>
      <c r="G352" s="17">
        <v>65</v>
      </c>
      <c r="H352" s="17" t="s">
        <v>279</v>
      </c>
      <c r="I352" s="17" t="s">
        <v>1670</v>
      </c>
      <c r="J352" s="17">
        <v>7220201</v>
      </c>
      <c r="K352" s="17">
        <v>7</v>
      </c>
      <c r="L352" s="17" t="s">
        <v>1671</v>
      </c>
      <c r="M352" s="17">
        <v>7</v>
      </c>
      <c r="N352" s="17">
        <v>7</v>
      </c>
      <c r="O352" s="17" t="s">
        <v>75</v>
      </c>
      <c r="P352" s="17" t="s">
        <v>76</v>
      </c>
      <c r="Q352" s="17" t="s">
        <v>69</v>
      </c>
      <c r="R352" s="22">
        <v>1565000</v>
      </c>
      <c r="S352" s="22">
        <f>R352*70%</f>
        <v>1095500</v>
      </c>
      <c r="T352" s="22">
        <v>5</v>
      </c>
      <c r="U352" s="22">
        <f t="shared" si="9"/>
        <v>5477500</v>
      </c>
      <c r="V352" s="30" t="s">
        <v>1758</v>
      </c>
      <c r="W352" s="30" t="s">
        <v>1759</v>
      </c>
      <c r="X352" s="32">
        <v>101883001435</v>
      </c>
      <c r="Y352" s="17" t="s">
        <v>52</v>
      </c>
    </row>
    <row r="353" spans="1:25" ht="29.25" customHeight="1" x14ac:dyDescent="0.25">
      <c r="A353" s="17">
        <v>345</v>
      </c>
      <c r="B353" s="17">
        <v>23</v>
      </c>
      <c r="C353" s="17">
        <v>644</v>
      </c>
      <c r="D353" s="17">
        <v>592</v>
      </c>
      <c r="E353" s="29" t="s">
        <v>1760</v>
      </c>
      <c r="F353" s="27" t="s">
        <v>1761</v>
      </c>
      <c r="G353" s="17">
        <v>65</v>
      </c>
      <c r="H353" s="17" t="s">
        <v>649</v>
      </c>
      <c r="I353" s="17" t="s">
        <v>1670</v>
      </c>
      <c r="J353" s="17">
        <v>7220201</v>
      </c>
      <c r="K353" s="17">
        <v>7</v>
      </c>
      <c r="L353" s="17" t="s">
        <v>1671</v>
      </c>
      <c r="M353" s="17">
        <v>7</v>
      </c>
      <c r="N353" s="17">
        <v>7</v>
      </c>
      <c r="O353" s="17" t="s">
        <v>75</v>
      </c>
      <c r="P353" s="17" t="s">
        <v>76</v>
      </c>
      <c r="Q353" s="17" t="s">
        <v>543</v>
      </c>
      <c r="R353" s="22">
        <v>1565000</v>
      </c>
      <c r="S353" s="22">
        <f>R353*70%</f>
        <v>1095500</v>
      </c>
      <c r="T353" s="22">
        <v>5</v>
      </c>
      <c r="U353" s="22">
        <f t="shared" si="9"/>
        <v>5477500</v>
      </c>
      <c r="V353" s="30" t="s">
        <v>1762</v>
      </c>
      <c r="W353" s="30" t="s">
        <v>1763</v>
      </c>
      <c r="X353" s="32">
        <v>102883001504</v>
      </c>
      <c r="Y353" s="17" t="s">
        <v>52</v>
      </c>
    </row>
    <row r="354" spans="1:25" ht="29.25" customHeight="1" x14ac:dyDescent="0.25">
      <c r="A354" s="17">
        <v>346</v>
      </c>
      <c r="B354" s="17">
        <v>24</v>
      </c>
      <c r="C354" s="38">
        <v>672</v>
      </c>
      <c r="D354" s="38">
        <v>620</v>
      </c>
      <c r="E354" s="32" t="s">
        <v>1764</v>
      </c>
      <c r="F354" s="39" t="s">
        <v>1765</v>
      </c>
      <c r="G354" s="17">
        <v>65</v>
      </c>
      <c r="H354" s="25" t="s">
        <v>1766</v>
      </c>
      <c r="I354" s="17" t="s">
        <v>1670</v>
      </c>
      <c r="J354" s="17">
        <v>7220201</v>
      </c>
      <c r="K354" s="17">
        <v>7</v>
      </c>
      <c r="L354" s="17" t="s">
        <v>1671</v>
      </c>
      <c r="M354" s="25">
        <v>7</v>
      </c>
      <c r="N354" s="17">
        <v>7</v>
      </c>
      <c r="O354" s="17" t="s">
        <v>75</v>
      </c>
      <c r="P354" s="17" t="s">
        <v>76</v>
      </c>
      <c r="Q354" s="17" t="s">
        <v>69</v>
      </c>
      <c r="R354" s="22">
        <v>1565000</v>
      </c>
      <c r="S354" s="22">
        <f>R354*70%</f>
        <v>1095500</v>
      </c>
      <c r="T354" s="22">
        <v>5</v>
      </c>
      <c r="U354" s="22">
        <f t="shared" si="9"/>
        <v>5477500</v>
      </c>
      <c r="V354" s="61" t="s">
        <v>1767</v>
      </c>
      <c r="W354" s="61" t="s">
        <v>1768</v>
      </c>
      <c r="X354" s="32" t="s">
        <v>1769</v>
      </c>
      <c r="Y354" s="17" t="s">
        <v>52</v>
      </c>
    </row>
    <row r="355" spans="1:25" ht="29.25" customHeight="1" x14ac:dyDescent="0.25">
      <c r="A355" s="17">
        <v>347</v>
      </c>
      <c r="B355" s="17">
        <v>25</v>
      </c>
      <c r="C355" s="38">
        <v>675</v>
      </c>
      <c r="D355" s="38">
        <v>623</v>
      </c>
      <c r="E355" s="32" t="s">
        <v>1770</v>
      </c>
      <c r="F355" s="39" t="s">
        <v>1771</v>
      </c>
      <c r="G355" s="17">
        <v>65</v>
      </c>
      <c r="H355" s="25" t="s">
        <v>1766</v>
      </c>
      <c r="I355" s="17" t="s">
        <v>1670</v>
      </c>
      <c r="J355" s="17">
        <v>7220201</v>
      </c>
      <c r="K355" s="17">
        <v>7</v>
      </c>
      <c r="L355" s="17" t="s">
        <v>1671</v>
      </c>
      <c r="M355" s="25">
        <v>7</v>
      </c>
      <c r="N355" s="17">
        <v>7</v>
      </c>
      <c r="O355" s="17" t="s">
        <v>75</v>
      </c>
      <c r="P355" s="17" t="s">
        <v>76</v>
      </c>
      <c r="Q355" s="17" t="s">
        <v>69</v>
      </c>
      <c r="R355" s="22">
        <v>1565000</v>
      </c>
      <c r="S355" s="22">
        <f>R355*70%</f>
        <v>1095500</v>
      </c>
      <c r="T355" s="22">
        <v>5</v>
      </c>
      <c r="U355" s="22">
        <f t="shared" si="9"/>
        <v>5477500</v>
      </c>
      <c r="V355" s="30" t="s">
        <v>1772</v>
      </c>
      <c r="W355" s="32" t="s">
        <v>1773</v>
      </c>
      <c r="X355" s="32">
        <v>104882993989</v>
      </c>
      <c r="Y355" s="17" t="s">
        <v>52</v>
      </c>
    </row>
    <row r="356" spans="1:25" ht="29.25" customHeight="1" x14ac:dyDescent="0.25">
      <c r="A356" s="17">
        <v>348</v>
      </c>
      <c r="B356" s="17">
        <v>26</v>
      </c>
      <c r="C356" s="17">
        <v>771</v>
      </c>
      <c r="D356" s="17">
        <v>719</v>
      </c>
      <c r="E356" s="18" t="s">
        <v>1774</v>
      </c>
      <c r="F356" s="19" t="s">
        <v>1775</v>
      </c>
      <c r="G356" s="20">
        <v>65</v>
      </c>
      <c r="H356" s="20" t="s">
        <v>290</v>
      </c>
      <c r="I356" s="20" t="s">
        <v>1670</v>
      </c>
      <c r="J356" s="20">
        <v>7220201</v>
      </c>
      <c r="K356" s="20">
        <v>7</v>
      </c>
      <c r="L356" s="17" t="s">
        <v>1671</v>
      </c>
      <c r="M356" s="17">
        <v>7</v>
      </c>
      <c r="N356" s="20">
        <v>7</v>
      </c>
      <c r="O356" s="20" t="s">
        <v>75</v>
      </c>
      <c r="P356" s="20" t="s">
        <v>76</v>
      </c>
      <c r="Q356" s="20" t="s">
        <v>69</v>
      </c>
      <c r="R356" s="33">
        <v>1565000</v>
      </c>
      <c r="S356" s="22">
        <f>R356*70%</f>
        <v>1095500</v>
      </c>
      <c r="T356" s="22">
        <v>5</v>
      </c>
      <c r="U356" s="22">
        <f t="shared" si="9"/>
        <v>5477500</v>
      </c>
      <c r="V356" s="18" t="s">
        <v>1776</v>
      </c>
      <c r="W356" s="18" t="s">
        <v>1777</v>
      </c>
      <c r="X356" s="74">
        <v>104882993900</v>
      </c>
      <c r="Y356" s="17" t="s">
        <v>52</v>
      </c>
    </row>
    <row r="357" spans="1:25" ht="29.25" customHeight="1" x14ac:dyDescent="0.25">
      <c r="A357" s="17">
        <v>349</v>
      </c>
      <c r="B357" s="17">
        <v>27</v>
      </c>
      <c r="C357" s="17">
        <v>765</v>
      </c>
      <c r="D357" s="17">
        <v>713</v>
      </c>
      <c r="E357" s="18" t="s">
        <v>1778</v>
      </c>
      <c r="F357" s="19" t="s">
        <v>1779</v>
      </c>
      <c r="G357" s="20">
        <v>66</v>
      </c>
      <c r="H357" s="20" t="s">
        <v>137</v>
      </c>
      <c r="I357" s="20" t="s">
        <v>1670</v>
      </c>
      <c r="J357" s="20">
        <v>7220201</v>
      </c>
      <c r="K357" s="20">
        <v>7</v>
      </c>
      <c r="L357" s="17" t="s">
        <v>1671</v>
      </c>
      <c r="M357" s="17">
        <v>7</v>
      </c>
      <c r="N357" s="20">
        <v>7</v>
      </c>
      <c r="O357" s="17" t="s">
        <v>47</v>
      </c>
      <c r="P357" s="17" t="s">
        <v>48</v>
      </c>
      <c r="Q357" s="20" t="s">
        <v>957</v>
      </c>
      <c r="R357" s="33">
        <v>1565000</v>
      </c>
      <c r="S357" s="22">
        <f>50%*R357</f>
        <v>782500</v>
      </c>
      <c r="T357" s="22">
        <v>5</v>
      </c>
      <c r="U357" s="22">
        <f t="shared" si="9"/>
        <v>3912500</v>
      </c>
      <c r="V357" s="23" t="s">
        <v>1780</v>
      </c>
      <c r="W357" s="23" t="s">
        <v>1781</v>
      </c>
      <c r="X357" s="18" t="s">
        <v>1781</v>
      </c>
      <c r="Y357" s="17" t="s">
        <v>102</v>
      </c>
    </row>
    <row r="358" spans="1:25" ht="29.25" customHeight="1" x14ac:dyDescent="0.25">
      <c r="A358" s="17">
        <v>350</v>
      </c>
      <c r="B358" s="17">
        <v>28</v>
      </c>
      <c r="C358" s="17">
        <v>766</v>
      </c>
      <c r="D358" s="17">
        <v>714</v>
      </c>
      <c r="E358" s="18" t="s">
        <v>1782</v>
      </c>
      <c r="F358" s="19" t="s">
        <v>1783</v>
      </c>
      <c r="G358" s="20">
        <v>66</v>
      </c>
      <c r="H358" s="20" t="s">
        <v>673</v>
      </c>
      <c r="I358" s="20" t="s">
        <v>1670</v>
      </c>
      <c r="J358" s="20">
        <v>7220201</v>
      </c>
      <c r="K358" s="20">
        <v>7</v>
      </c>
      <c r="L358" s="17" t="s">
        <v>1671</v>
      </c>
      <c r="M358" s="17">
        <v>7</v>
      </c>
      <c r="N358" s="20">
        <v>7</v>
      </c>
      <c r="O358" s="20" t="s">
        <v>75</v>
      </c>
      <c r="P358" s="20" t="s">
        <v>76</v>
      </c>
      <c r="Q358" s="20" t="s">
        <v>69</v>
      </c>
      <c r="R358" s="33">
        <v>1565000</v>
      </c>
      <c r="S358" s="22">
        <f>R358*70%</f>
        <v>1095500</v>
      </c>
      <c r="T358" s="22">
        <v>5</v>
      </c>
      <c r="U358" s="22">
        <f t="shared" si="9"/>
        <v>5477500</v>
      </c>
      <c r="V358" s="23" t="s">
        <v>1784</v>
      </c>
      <c r="W358" s="23" t="s">
        <v>1785</v>
      </c>
      <c r="X358" s="74">
        <v>7500717012007</v>
      </c>
      <c r="Y358" s="17" t="s">
        <v>102</v>
      </c>
    </row>
    <row r="359" spans="1:25" ht="29.25" customHeight="1" x14ac:dyDescent="0.25">
      <c r="A359" s="17">
        <v>351</v>
      </c>
      <c r="B359" s="17">
        <v>29</v>
      </c>
      <c r="C359" s="17">
        <v>768</v>
      </c>
      <c r="D359" s="17">
        <v>716</v>
      </c>
      <c r="E359" s="18" t="s">
        <v>1786</v>
      </c>
      <c r="F359" s="19" t="s">
        <v>1787</v>
      </c>
      <c r="G359" s="20">
        <v>66</v>
      </c>
      <c r="H359" s="20" t="s">
        <v>357</v>
      </c>
      <c r="I359" s="20" t="s">
        <v>1670</v>
      </c>
      <c r="J359" s="20">
        <v>7220201</v>
      </c>
      <c r="K359" s="20">
        <v>7</v>
      </c>
      <c r="L359" s="17" t="s">
        <v>1671</v>
      </c>
      <c r="M359" s="17">
        <v>7</v>
      </c>
      <c r="N359" s="20">
        <v>7</v>
      </c>
      <c r="O359" s="17" t="s">
        <v>55</v>
      </c>
      <c r="P359" s="20" t="s">
        <v>38</v>
      </c>
      <c r="Q359" s="20" t="s">
        <v>957</v>
      </c>
      <c r="R359" s="33">
        <v>1565000</v>
      </c>
      <c r="S359" s="22">
        <f>R359</f>
        <v>1565000</v>
      </c>
      <c r="T359" s="22">
        <v>5</v>
      </c>
      <c r="U359" s="22">
        <f t="shared" si="9"/>
        <v>7825000</v>
      </c>
      <c r="V359" s="23" t="s">
        <v>1788</v>
      </c>
      <c r="W359" s="23" t="s">
        <v>1789</v>
      </c>
      <c r="X359" s="74">
        <v>5130100704</v>
      </c>
      <c r="Y359" s="20" t="s">
        <v>42</v>
      </c>
    </row>
    <row r="360" spans="1:25" ht="29.25" customHeight="1" x14ac:dyDescent="0.25">
      <c r="A360" s="17">
        <v>352</v>
      </c>
      <c r="B360" s="17">
        <v>30</v>
      </c>
      <c r="C360" s="17">
        <v>770</v>
      </c>
      <c r="D360" s="17">
        <v>718</v>
      </c>
      <c r="E360" s="18" t="s">
        <v>1790</v>
      </c>
      <c r="F360" s="19" t="s">
        <v>1791</v>
      </c>
      <c r="G360" s="20">
        <v>66</v>
      </c>
      <c r="H360" s="20" t="s">
        <v>357</v>
      </c>
      <c r="I360" s="20" t="s">
        <v>1670</v>
      </c>
      <c r="J360" s="20">
        <v>7220201</v>
      </c>
      <c r="K360" s="20">
        <v>7</v>
      </c>
      <c r="L360" s="17" t="s">
        <v>1671</v>
      </c>
      <c r="M360" s="17">
        <v>7</v>
      </c>
      <c r="N360" s="20">
        <v>7</v>
      </c>
      <c r="O360" s="20" t="s">
        <v>62</v>
      </c>
      <c r="P360" s="20" t="s">
        <v>38</v>
      </c>
      <c r="Q360" s="20" t="s">
        <v>69</v>
      </c>
      <c r="R360" s="33">
        <v>1565000</v>
      </c>
      <c r="S360" s="22">
        <f>R360</f>
        <v>1565000</v>
      </c>
      <c r="T360" s="22">
        <v>5</v>
      </c>
      <c r="U360" s="22">
        <f t="shared" si="9"/>
        <v>7825000</v>
      </c>
      <c r="V360" s="23" t="s">
        <v>1792</v>
      </c>
      <c r="W360" s="23" t="s">
        <v>1793</v>
      </c>
      <c r="X360" s="74">
        <v>106885419634</v>
      </c>
      <c r="Y360" s="17" t="s">
        <v>52</v>
      </c>
    </row>
    <row r="361" spans="1:25" ht="29.25" customHeight="1" x14ac:dyDescent="0.25">
      <c r="A361" s="17">
        <v>353</v>
      </c>
      <c r="B361" s="17">
        <v>31</v>
      </c>
      <c r="C361" s="17">
        <v>769</v>
      </c>
      <c r="D361" s="17">
        <v>717</v>
      </c>
      <c r="E361" s="18" t="s">
        <v>1794</v>
      </c>
      <c r="F361" s="19" t="s">
        <v>1795</v>
      </c>
      <c r="G361" s="20">
        <v>66</v>
      </c>
      <c r="H361" s="20" t="s">
        <v>137</v>
      </c>
      <c r="I361" s="20" t="s">
        <v>1796</v>
      </c>
      <c r="J361" s="20">
        <v>7220204</v>
      </c>
      <c r="K361" s="20">
        <v>7</v>
      </c>
      <c r="L361" s="17" t="s">
        <v>1671</v>
      </c>
      <c r="M361" s="17">
        <v>7</v>
      </c>
      <c r="N361" s="20">
        <v>7</v>
      </c>
      <c r="O361" s="20" t="s">
        <v>75</v>
      </c>
      <c r="P361" s="20" t="s">
        <v>76</v>
      </c>
      <c r="Q361" s="20" t="s">
        <v>69</v>
      </c>
      <c r="R361" s="33">
        <v>1565000</v>
      </c>
      <c r="S361" s="22">
        <f>R361*70%</f>
        <v>1095500</v>
      </c>
      <c r="T361" s="22">
        <v>5</v>
      </c>
      <c r="U361" s="22">
        <f t="shared" si="9"/>
        <v>5477500</v>
      </c>
      <c r="V361" s="23" t="s">
        <v>1797</v>
      </c>
      <c r="W361" s="23" t="s">
        <v>1798</v>
      </c>
      <c r="X361" s="18" t="s">
        <v>1799</v>
      </c>
      <c r="Y361" s="20" t="s">
        <v>42</v>
      </c>
    </row>
    <row r="362" spans="1:25" ht="29.25" customHeight="1" x14ac:dyDescent="0.25">
      <c r="A362" s="17">
        <v>354</v>
      </c>
      <c r="B362" s="17">
        <v>32</v>
      </c>
      <c r="C362" s="17">
        <v>767</v>
      </c>
      <c r="D362" s="17">
        <v>715</v>
      </c>
      <c r="E362" s="18" t="s">
        <v>1800</v>
      </c>
      <c r="F362" s="19" t="s">
        <v>1801</v>
      </c>
      <c r="G362" s="20">
        <v>66</v>
      </c>
      <c r="H362" s="20" t="s">
        <v>357</v>
      </c>
      <c r="I362" s="20" t="s">
        <v>1796</v>
      </c>
      <c r="J362" s="20">
        <v>7220204</v>
      </c>
      <c r="K362" s="20">
        <v>7</v>
      </c>
      <c r="L362" s="17" t="s">
        <v>1671</v>
      </c>
      <c r="M362" s="17">
        <v>7</v>
      </c>
      <c r="N362" s="20">
        <v>7</v>
      </c>
      <c r="O362" s="20" t="s">
        <v>75</v>
      </c>
      <c r="P362" s="20" t="s">
        <v>76</v>
      </c>
      <c r="Q362" s="20" t="s">
        <v>69</v>
      </c>
      <c r="R362" s="33">
        <v>1565000</v>
      </c>
      <c r="S362" s="22">
        <f>R362*70%</f>
        <v>1095500</v>
      </c>
      <c r="T362" s="22">
        <v>5</v>
      </c>
      <c r="U362" s="22">
        <f t="shared" si="9"/>
        <v>5477500</v>
      </c>
      <c r="V362" s="23" t="s">
        <v>1802</v>
      </c>
      <c r="W362" s="23" t="s">
        <v>1803</v>
      </c>
      <c r="X362" s="74">
        <v>8845781347</v>
      </c>
      <c r="Y362" s="20" t="s">
        <v>42</v>
      </c>
    </row>
    <row r="363" spans="1:25" ht="29.25" customHeight="1" x14ac:dyDescent="0.25">
      <c r="A363" s="17">
        <v>355</v>
      </c>
      <c r="B363" s="17">
        <v>1</v>
      </c>
      <c r="C363" s="17">
        <v>610</v>
      </c>
      <c r="D363" s="17">
        <v>558</v>
      </c>
      <c r="E363" s="30" t="s">
        <v>1804</v>
      </c>
      <c r="F363" s="27" t="s">
        <v>1805</v>
      </c>
      <c r="G363" s="17">
        <v>65</v>
      </c>
      <c r="H363" s="17" t="s">
        <v>1436</v>
      </c>
      <c r="I363" s="17" t="s">
        <v>1806</v>
      </c>
      <c r="J363" s="17">
        <v>7580101</v>
      </c>
      <c r="K363" s="17">
        <v>5</v>
      </c>
      <c r="L363" s="17" t="s">
        <v>1807</v>
      </c>
      <c r="M363" s="17">
        <v>8</v>
      </c>
      <c r="N363" s="17">
        <v>5</v>
      </c>
      <c r="O363" s="17" t="s">
        <v>62</v>
      </c>
      <c r="P363" s="17" t="s">
        <v>38</v>
      </c>
      <c r="Q363" s="17" t="s">
        <v>69</v>
      </c>
      <c r="R363" s="22">
        <v>1840000</v>
      </c>
      <c r="S363" s="22">
        <f>R363</f>
        <v>1840000</v>
      </c>
      <c r="T363" s="22">
        <v>5</v>
      </c>
      <c r="U363" s="22">
        <f t="shared" si="9"/>
        <v>9200000</v>
      </c>
      <c r="V363" s="30" t="s">
        <v>1808</v>
      </c>
      <c r="W363" s="30" t="s">
        <v>1809</v>
      </c>
      <c r="X363" s="30">
        <v>8883712449</v>
      </c>
      <c r="Y363" s="17" t="s">
        <v>42</v>
      </c>
    </row>
    <row r="364" spans="1:25" ht="29.25" customHeight="1" x14ac:dyDescent="0.25">
      <c r="A364" s="17">
        <v>356</v>
      </c>
      <c r="B364" s="17">
        <v>2</v>
      </c>
      <c r="C364" s="17">
        <v>773</v>
      </c>
      <c r="D364" s="17">
        <v>721</v>
      </c>
      <c r="E364" s="23" t="s">
        <v>1810</v>
      </c>
      <c r="F364" s="19" t="s">
        <v>1811</v>
      </c>
      <c r="G364" s="20">
        <v>66</v>
      </c>
      <c r="H364" s="20" t="s">
        <v>1812</v>
      </c>
      <c r="I364" s="20" t="s">
        <v>1813</v>
      </c>
      <c r="J364" s="20">
        <v>7580301</v>
      </c>
      <c r="K364" s="20">
        <v>5</v>
      </c>
      <c r="L364" s="20" t="s">
        <v>1807</v>
      </c>
      <c r="M364" s="17">
        <v>8</v>
      </c>
      <c r="N364" s="20">
        <v>5</v>
      </c>
      <c r="O364" s="20" t="s">
        <v>75</v>
      </c>
      <c r="P364" s="20" t="s">
        <v>76</v>
      </c>
      <c r="Q364" s="17"/>
      <c r="R364" s="22">
        <v>1840000</v>
      </c>
      <c r="S364" s="22">
        <f>R364*70%</f>
        <v>1288000</v>
      </c>
      <c r="T364" s="22">
        <v>5</v>
      </c>
      <c r="U364" s="22">
        <f t="shared" si="9"/>
        <v>6440000</v>
      </c>
      <c r="V364" s="30" t="s">
        <v>1814</v>
      </c>
      <c r="W364" s="30" t="s">
        <v>1815</v>
      </c>
      <c r="X364" s="30" t="s">
        <v>1816</v>
      </c>
      <c r="Y364" s="17" t="s">
        <v>42</v>
      </c>
    </row>
    <row r="365" spans="1:25" ht="29.25" customHeight="1" x14ac:dyDescent="0.25">
      <c r="A365" s="17">
        <v>357</v>
      </c>
      <c r="B365" s="17">
        <v>3</v>
      </c>
      <c r="C365" s="17">
        <v>301</v>
      </c>
      <c r="D365" s="17">
        <v>272</v>
      </c>
      <c r="E365" s="17" t="s">
        <v>1817</v>
      </c>
      <c r="F365" s="27" t="s">
        <v>1818</v>
      </c>
      <c r="G365" s="17">
        <v>62</v>
      </c>
      <c r="H365" s="17" t="s">
        <v>1819</v>
      </c>
      <c r="I365" s="17" t="s">
        <v>1820</v>
      </c>
      <c r="J365" s="17">
        <v>7580201</v>
      </c>
      <c r="K365" s="17">
        <v>5</v>
      </c>
      <c r="L365" s="17" t="s">
        <v>1807</v>
      </c>
      <c r="M365" s="17">
        <v>8</v>
      </c>
      <c r="N365" s="17">
        <v>5</v>
      </c>
      <c r="O365" s="17" t="s">
        <v>116</v>
      </c>
      <c r="P365" s="17" t="s">
        <v>38</v>
      </c>
      <c r="Q365" s="17"/>
      <c r="R365" s="22">
        <v>1840000</v>
      </c>
      <c r="S365" s="22">
        <f>R365</f>
        <v>1840000</v>
      </c>
      <c r="T365" s="22">
        <v>5</v>
      </c>
      <c r="U365" s="22">
        <f t="shared" si="9"/>
        <v>9200000</v>
      </c>
      <c r="V365" s="17">
        <v>42203001469</v>
      </c>
      <c r="W365" s="17" t="s">
        <v>1821</v>
      </c>
      <c r="X365" s="17" t="s">
        <v>1822</v>
      </c>
      <c r="Y365" s="17" t="s">
        <v>52</v>
      </c>
    </row>
    <row r="366" spans="1:25" ht="29.25" customHeight="1" x14ac:dyDescent="0.25">
      <c r="A366" s="17">
        <v>358</v>
      </c>
      <c r="B366" s="17">
        <v>4</v>
      </c>
      <c r="C366" s="17">
        <v>361</v>
      </c>
      <c r="D366" s="17">
        <v>315</v>
      </c>
      <c r="E366" s="17" t="s">
        <v>1823</v>
      </c>
      <c r="F366" s="27" t="s">
        <v>1824</v>
      </c>
      <c r="G366" s="17">
        <v>63</v>
      </c>
      <c r="H366" s="17" t="s">
        <v>1260</v>
      </c>
      <c r="I366" s="17" t="s">
        <v>1820</v>
      </c>
      <c r="J366" s="17">
        <v>7580201</v>
      </c>
      <c r="K366" s="17">
        <v>5</v>
      </c>
      <c r="L366" s="17" t="s">
        <v>1807</v>
      </c>
      <c r="M366" s="17">
        <v>8</v>
      </c>
      <c r="N366" s="17">
        <v>5</v>
      </c>
      <c r="O366" s="17" t="s">
        <v>116</v>
      </c>
      <c r="P366" s="17" t="s">
        <v>38</v>
      </c>
      <c r="Q366" s="17"/>
      <c r="R366" s="22">
        <v>1840000</v>
      </c>
      <c r="S366" s="22">
        <f>R366</f>
        <v>1840000</v>
      </c>
      <c r="T366" s="22">
        <v>5</v>
      </c>
      <c r="U366" s="22">
        <f t="shared" si="9"/>
        <v>9200000</v>
      </c>
      <c r="V366" s="17" t="s">
        <v>1825</v>
      </c>
      <c r="W366" s="17" t="s">
        <v>1826</v>
      </c>
      <c r="X366" s="17" t="s">
        <v>1827</v>
      </c>
      <c r="Y366" s="17" t="s">
        <v>52</v>
      </c>
    </row>
    <row r="367" spans="1:25" ht="29.25" customHeight="1" x14ac:dyDescent="0.25">
      <c r="A367" s="17">
        <v>359</v>
      </c>
      <c r="B367" s="17">
        <v>5</v>
      </c>
      <c r="C367" s="17">
        <v>362</v>
      </c>
      <c r="D367" s="17">
        <v>316</v>
      </c>
      <c r="E367" s="17" t="s">
        <v>1828</v>
      </c>
      <c r="F367" s="27" t="s">
        <v>1829</v>
      </c>
      <c r="G367" s="17">
        <v>63</v>
      </c>
      <c r="H367" s="17" t="s">
        <v>1260</v>
      </c>
      <c r="I367" s="17" t="s">
        <v>1820</v>
      </c>
      <c r="J367" s="17">
        <v>7580201</v>
      </c>
      <c r="K367" s="17">
        <v>5</v>
      </c>
      <c r="L367" s="17" t="s">
        <v>1807</v>
      </c>
      <c r="M367" s="17">
        <v>8</v>
      </c>
      <c r="N367" s="17">
        <v>5</v>
      </c>
      <c r="O367" s="17" t="s">
        <v>258</v>
      </c>
      <c r="P367" s="17" t="s">
        <v>38</v>
      </c>
      <c r="Q367" s="17"/>
      <c r="R367" s="22">
        <v>1840000</v>
      </c>
      <c r="S367" s="22">
        <f>R367</f>
        <v>1840000</v>
      </c>
      <c r="T367" s="22">
        <v>5</v>
      </c>
      <c r="U367" s="22">
        <f t="shared" si="9"/>
        <v>9200000</v>
      </c>
      <c r="V367" s="17" t="s">
        <v>1830</v>
      </c>
      <c r="W367" s="17" t="s">
        <v>1831</v>
      </c>
      <c r="X367" s="17" t="s">
        <v>1832</v>
      </c>
      <c r="Y367" s="17" t="s">
        <v>52</v>
      </c>
    </row>
    <row r="368" spans="1:25" ht="29.25" customHeight="1" x14ac:dyDescent="0.25">
      <c r="A368" s="17">
        <v>360</v>
      </c>
      <c r="B368" s="17">
        <v>6</v>
      </c>
      <c r="C368" s="17">
        <v>607</v>
      </c>
      <c r="D368" s="17">
        <v>555</v>
      </c>
      <c r="E368" s="30" t="s">
        <v>1833</v>
      </c>
      <c r="F368" s="27" t="s">
        <v>1834</v>
      </c>
      <c r="G368" s="17">
        <v>65</v>
      </c>
      <c r="H368" s="17" t="s">
        <v>1436</v>
      </c>
      <c r="I368" s="17" t="s">
        <v>1820</v>
      </c>
      <c r="J368" s="17">
        <v>7580201</v>
      </c>
      <c r="K368" s="17">
        <v>5</v>
      </c>
      <c r="L368" s="17" t="s">
        <v>1807</v>
      </c>
      <c r="M368" s="17">
        <v>8</v>
      </c>
      <c r="N368" s="17">
        <v>5</v>
      </c>
      <c r="O368" s="17" t="s">
        <v>75</v>
      </c>
      <c r="P368" s="17" t="s">
        <v>76</v>
      </c>
      <c r="Q368" s="17" t="s">
        <v>69</v>
      </c>
      <c r="R368" s="22">
        <v>1840000</v>
      </c>
      <c r="S368" s="22">
        <f>R368*70%</f>
        <v>1288000</v>
      </c>
      <c r="T368" s="22">
        <v>5</v>
      </c>
      <c r="U368" s="22">
        <f t="shared" si="9"/>
        <v>6440000</v>
      </c>
      <c r="V368" s="30" t="s">
        <v>1835</v>
      </c>
      <c r="W368" s="30" t="s">
        <v>1836</v>
      </c>
      <c r="X368" s="30">
        <v>8863712367</v>
      </c>
      <c r="Y368" s="17" t="s">
        <v>42</v>
      </c>
    </row>
    <row r="369" spans="1:25" ht="29.25" customHeight="1" x14ac:dyDescent="0.25">
      <c r="A369" s="17">
        <v>361</v>
      </c>
      <c r="B369" s="17">
        <v>7</v>
      </c>
      <c r="C369" s="17">
        <v>608</v>
      </c>
      <c r="D369" s="17">
        <v>556</v>
      </c>
      <c r="E369" s="30" t="s">
        <v>1837</v>
      </c>
      <c r="F369" s="27" t="s">
        <v>1838</v>
      </c>
      <c r="G369" s="17">
        <v>65</v>
      </c>
      <c r="H369" s="17" t="s">
        <v>1436</v>
      </c>
      <c r="I369" s="17" t="s">
        <v>1820</v>
      </c>
      <c r="J369" s="17">
        <v>7580201</v>
      </c>
      <c r="K369" s="17">
        <v>5</v>
      </c>
      <c r="L369" s="17" t="s">
        <v>1807</v>
      </c>
      <c r="M369" s="17">
        <v>8</v>
      </c>
      <c r="N369" s="17">
        <v>5</v>
      </c>
      <c r="O369" s="17" t="s">
        <v>55</v>
      </c>
      <c r="P369" s="17" t="s">
        <v>38</v>
      </c>
      <c r="Q369" s="17"/>
      <c r="R369" s="22">
        <v>1840000</v>
      </c>
      <c r="S369" s="22">
        <f>R369</f>
        <v>1840000</v>
      </c>
      <c r="T369" s="22">
        <v>5</v>
      </c>
      <c r="U369" s="22">
        <f t="shared" si="9"/>
        <v>9200000</v>
      </c>
      <c r="V369" s="30" t="s">
        <v>1839</v>
      </c>
      <c r="W369" s="30" t="s">
        <v>1840</v>
      </c>
      <c r="X369" s="30">
        <v>8873712399</v>
      </c>
      <c r="Y369" s="17" t="s">
        <v>42</v>
      </c>
    </row>
    <row r="370" spans="1:25" ht="29.25" customHeight="1" x14ac:dyDescent="0.25">
      <c r="A370" s="17">
        <v>362</v>
      </c>
      <c r="B370" s="17">
        <v>8</v>
      </c>
      <c r="C370" s="38">
        <v>678</v>
      </c>
      <c r="D370" s="38">
        <v>626</v>
      </c>
      <c r="E370" s="32" t="s">
        <v>1841</v>
      </c>
      <c r="F370" s="39" t="s">
        <v>1842</v>
      </c>
      <c r="G370" s="17">
        <v>65</v>
      </c>
      <c r="H370" s="17" t="s">
        <v>1436</v>
      </c>
      <c r="I370" s="17" t="s">
        <v>1820</v>
      </c>
      <c r="J370" s="17">
        <v>7580201</v>
      </c>
      <c r="K370" s="17">
        <v>5</v>
      </c>
      <c r="L370" s="17" t="s">
        <v>1807</v>
      </c>
      <c r="M370" s="17">
        <v>8</v>
      </c>
      <c r="N370" s="17">
        <v>5</v>
      </c>
      <c r="O370" s="17" t="s">
        <v>1843</v>
      </c>
      <c r="P370" s="17" t="s">
        <v>38</v>
      </c>
      <c r="Q370" s="17" t="s">
        <v>69</v>
      </c>
      <c r="R370" s="22">
        <v>1840000</v>
      </c>
      <c r="S370" s="22">
        <f>R370</f>
        <v>1840000</v>
      </c>
      <c r="T370" s="22">
        <v>5</v>
      </c>
      <c r="U370" s="22">
        <f t="shared" si="9"/>
        <v>9200000</v>
      </c>
      <c r="V370" s="30" t="s">
        <v>1844</v>
      </c>
      <c r="W370" s="30" t="s">
        <v>1845</v>
      </c>
      <c r="X370" s="30">
        <v>8803712396</v>
      </c>
      <c r="Y370" s="17" t="s">
        <v>42</v>
      </c>
    </row>
    <row r="371" spans="1:25" ht="29.25" customHeight="1" x14ac:dyDescent="0.25">
      <c r="A371" s="17">
        <v>363</v>
      </c>
      <c r="B371" s="17">
        <v>9</v>
      </c>
      <c r="C371" s="17">
        <v>490</v>
      </c>
      <c r="D371" s="17">
        <v>438</v>
      </c>
      <c r="E371" s="30" t="s">
        <v>1846</v>
      </c>
      <c r="F371" s="27" t="s">
        <v>1847</v>
      </c>
      <c r="G371" s="17">
        <v>64</v>
      </c>
      <c r="H371" s="17" t="s">
        <v>1276</v>
      </c>
      <c r="I371" s="17" t="s">
        <v>1848</v>
      </c>
      <c r="J371" s="17">
        <v>7580205</v>
      </c>
      <c r="K371" s="17">
        <v>5</v>
      </c>
      <c r="L371" s="17" t="s">
        <v>1807</v>
      </c>
      <c r="M371" s="17">
        <v>8</v>
      </c>
      <c r="N371" s="17">
        <v>5</v>
      </c>
      <c r="O371" s="17" t="s">
        <v>116</v>
      </c>
      <c r="P371" s="17" t="s">
        <v>38</v>
      </c>
      <c r="Q371" s="17"/>
      <c r="R371" s="22">
        <v>1840000</v>
      </c>
      <c r="S371" s="22">
        <f>R371</f>
        <v>1840000</v>
      </c>
      <c r="T371" s="22">
        <v>5</v>
      </c>
      <c r="U371" s="22">
        <f t="shared" si="9"/>
        <v>9200000</v>
      </c>
      <c r="V371" s="30" t="s">
        <v>1849</v>
      </c>
      <c r="W371" s="30" t="s">
        <v>1850</v>
      </c>
      <c r="X371" s="30" t="s">
        <v>1851</v>
      </c>
      <c r="Y371" s="17" t="s">
        <v>42</v>
      </c>
    </row>
    <row r="372" spans="1:25" ht="29.25" customHeight="1" x14ac:dyDescent="0.25">
      <c r="A372" s="17">
        <v>364</v>
      </c>
      <c r="B372" s="17">
        <v>10</v>
      </c>
      <c r="C372" s="17">
        <v>772</v>
      </c>
      <c r="D372" s="17">
        <v>720</v>
      </c>
      <c r="E372" s="23" t="s">
        <v>1852</v>
      </c>
      <c r="F372" s="39" t="s">
        <v>1853</v>
      </c>
      <c r="G372" s="20">
        <v>66</v>
      </c>
      <c r="H372" s="20" t="s">
        <v>1224</v>
      </c>
      <c r="I372" s="20" t="s">
        <v>1848</v>
      </c>
      <c r="J372" s="20">
        <v>7580205</v>
      </c>
      <c r="K372" s="20">
        <v>5</v>
      </c>
      <c r="L372" s="20" t="s">
        <v>1807</v>
      </c>
      <c r="M372" s="20">
        <v>8</v>
      </c>
      <c r="N372" s="20">
        <v>5</v>
      </c>
      <c r="O372" s="17" t="s">
        <v>47</v>
      </c>
      <c r="P372" s="17" t="s">
        <v>48</v>
      </c>
      <c r="Q372" s="20"/>
      <c r="R372" s="22">
        <v>1840000</v>
      </c>
      <c r="S372" s="22">
        <f>50%*R372</f>
        <v>920000</v>
      </c>
      <c r="T372" s="22">
        <v>5</v>
      </c>
      <c r="U372" s="22">
        <f t="shared" si="9"/>
        <v>4600000</v>
      </c>
      <c r="V372" s="17" t="s">
        <v>1854</v>
      </c>
      <c r="W372" s="30" t="s">
        <v>1855</v>
      </c>
      <c r="X372" s="30" t="s">
        <v>1855</v>
      </c>
      <c r="Y372" s="17" t="s">
        <v>102</v>
      </c>
    </row>
    <row r="373" spans="1:25" s="16" customFormat="1" ht="29.25" customHeight="1" x14ac:dyDescent="0.25">
      <c r="A373" s="75" t="s">
        <v>1856</v>
      </c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6"/>
      <c r="S373" s="77">
        <f>SUM(S9:S372)</f>
        <v>522728200</v>
      </c>
      <c r="T373" s="78">
        <v>5</v>
      </c>
      <c r="U373" s="77">
        <f>SUM(U9:U372)</f>
        <v>2613641000</v>
      </c>
      <c r="V373" s="79"/>
      <c r="W373" s="79"/>
      <c r="X373" s="79"/>
      <c r="Y373" s="79"/>
    </row>
    <row r="374" spans="1:25" ht="25.5" customHeight="1" x14ac:dyDescent="0.25">
      <c r="A374" s="80" t="s">
        <v>1857</v>
      </c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1"/>
      <c r="V374" s="2"/>
      <c r="W374" s="2"/>
      <c r="X374" s="2"/>
      <c r="Y374" s="82"/>
    </row>
    <row r="375" spans="1:25" ht="25.5" customHeight="1" x14ac:dyDescent="0.25">
      <c r="A375" s="83" t="s">
        <v>1858</v>
      </c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4"/>
      <c r="V375" s="2"/>
      <c r="W375" s="2"/>
      <c r="X375" s="85"/>
      <c r="Y375" s="86"/>
    </row>
    <row r="376" spans="1:25" ht="25.5" customHeight="1" x14ac:dyDescent="0.2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8"/>
      <c r="P376" s="88"/>
      <c r="Q376" s="88"/>
      <c r="R376" s="88"/>
      <c r="S376" s="88"/>
      <c r="T376" s="88"/>
      <c r="U376" s="2"/>
      <c r="V376" s="2"/>
      <c r="W376" s="2"/>
      <c r="X376" s="2"/>
      <c r="Y376" s="2"/>
    </row>
    <row r="377" spans="1:25" ht="25.5" customHeight="1" x14ac:dyDescent="0.25">
      <c r="A377" s="89" t="s">
        <v>1859</v>
      </c>
      <c r="B377" s="89"/>
      <c r="C377" s="89"/>
      <c r="D377" s="89"/>
      <c r="E377" s="89"/>
      <c r="F377" s="89"/>
      <c r="G377" s="90"/>
      <c r="H377" s="87"/>
      <c r="I377" s="3"/>
      <c r="J377" s="3"/>
      <c r="K377" s="3"/>
      <c r="L377" s="90"/>
      <c r="M377" s="90"/>
      <c r="N377" s="90"/>
      <c r="O377" s="89" t="s">
        <v>1860</v>
      </c>
      <c r="P377" s="89"/>
      <c r="Q377" s="89"/>
      <c r="R377" s="89"/>
      <c r="S377" s="89"/>
      <c r="T377" s="2"/>
      <c r="U377" s="2"/>
      <c r="V377" s="2"/>
      <c r="W377" s="89" t="s">
        <v>1861</v>
      </c>
      <c r="X377" s="89"/>
      <c r="Y377" s="89"/>
    </row>
    <row r="378" spans="1:25" ht="25.5" customHeight="1" x14ac:dyDescent="0.25">
      <c r="A378" s="87"/>
      <c r="B378" s="87"/>
      <c r="C378" s="87"/>
      <c r="D378" s="87"/>
      <c r="E378" s="87"/>
      <c r="F378" s="87"/>
      <c r="G378" s="87"/>
      <c r="H378" s="87"/>
      <c r="I378" s="3"/>
      <c r="J378" s="3"/>
      <c r="K378" s="3"/>
      <c r="L378" s="87"/>
      <c r="M378" s="87"/>
      <c r="N378" s="87"/>
      <c r="O378" s="87"/>
      <c r="P378" s="87"/>
      <c r="Q378" s="87"/>
      <c r="R378" s="87"/>
      <c r="S378" s="2"/>
      <c r="T378" s="2"/>
      <c r="U378" s="2"/>
      <c r="V378" s="2"/>
      <c r="W378" s="87"/>
      <c r="X378" s="87"/>
      <c r="Y378" s="87"/>
    </row>
    <row r="379" spans="1:25" ht="25.5" customHeight="1" x14ac:dyDescent="0.25">
      <c r="A379" s="87"/>
      <c r="B379" s="87"/>
      <c r="C379" s="87"/>
      <c r="D379" s="87"/>
      <c r="E379" s="87"/>
      <c r="F379" s="87"/>
      <c r="G379" s="87"/>
      <c r="H379" s="87"/>
      <c r="I379" s="3"/>
      <c r="J379" s="3"/>
      <c r="K379" s="3"/>
      <c r="L379" s="87"/>
      <c r="M379" s="87"/>
      <c r="N379" s="87"/>
      <c r="O379" s="87"/>
      <c r="P379" s="87"/>
      <c r="Q379" s="87"/>
      <c r="R379" s="87"/>
      <c r="S379" s="2"/>
      <c r="T379" s="2"/>
      <c r="U379" s="2"/>
      <c r="V379" s="2"/>
      <c r="W379" s="87"/>
      <c r="X379" s="87"/>
      <c r="Y379" s="87"/>
    </row>
    <row r="380" spans="1:25" ht="25.5" customHeight="1" x14ac:dyDescent="0.25">
      <c r="A380" s="87"/>
      <c r="B380" s="87"/>
      <c r="C380" s="87"/>
      <c r="D380" s="87"/>
      <c r="E380" s="87"/>
      <c r="F380" s="87"/>
      <c r="G380" s="87"/>
      <c r="H380" s="87"/>
      <c r="I380" s="3"/>
      <c r="J380" s="3"/>
      <c r="K380" s="3"/>
      <c r="L380" s="87"/>
      <c r="M380" s="87"/>
      <c r="N380" s="87"/>
      <c r="O380" s="87"/>
      <c r="P380" s="87"/>
      <c r="Q380" s="87"/>
      <c r="R380" s="87"/>
      <c r="S380" s="2"/>
      <c r="T380" s="2"/>
      <c r="U380" s="2"/>
      <c r="V380" s="2"/>
      <c r="W380" s="87"/>
      <c r="X380" s="87"/>
      <c r="Y380" s="87"/>
    </row>
    <row r="381" spans="1:25" ht="25.5" customHeight="1" x14ac:dyDescent="0.25">
      <c r="A381" s="87"/>
      <c r="B381" s="87"/>
      <c r="C381" s="87"/>
      <c r="D381" s="87"/>
      <c r="E381" s="87"/>
      <c r="F381" s="87"/>
      <c r="G381" s="87"/>
      <c r="H381" s="87"/>
      <c r="I381" s="3"/>
      <c r="J381" s="3"/>
      <c r="K381" s="3"/>
      <c r="L381" s="87"/>
      <c r="M381" s="87"/>
      <c r="N381" s="87"/>
      <c r="O381" s="87"/>
      <c r="P381" s="87"/>
      <c r="Q381" s="87"/>
      <c r="R381" s="87"/>
      <c r="S381" s="2"/>
      <c r="T381" s="2"/>
      <c r="U381" s="2"/>
      <c r="V381" s="2"/>
      <c r="W381" s="87"/>
      <c r="X381" s="87"/>
      <c r="Y381" s="87"/>
    </row>
    <row r="382" spans="1:25" ht="25.5" customHeight="1" x14ac:dyDescent="0.25">
      <c r="A382" s="87"/>
      <c r="B382" s="87"/>
      <c r="C382" s="87"/>
      <c r="D382" s="87"/>
      <c r="E382" s="87"/>
      <c r="F382" s="87"/>
      <c r="G382" s="87"/>
      <c r="H382" s="87"/>
      <c r="I382" s="3"/>
      <c r="J382" s="3"/>
      <c r="K382" s="3"/>
      <c r="L382" s="87"/>
      <c r="M382" s="87"/>
      <c r="N382" s="87"/>
      <c r="O382" s="87"/>
      <c r="P382" s="87"/>
      <c r="Q382" s="87"/>
      <c r="R382" s="87"/>
      <c r="S382" s="2"/>
      <c r="T382" s="2"/>
      <c r="U382" s="2"/>
      <c r="V382" s="2"/>
      <c r="W382" s="87"/>
      <c r="X382" s="87"/>
      <c r="Y382" s="87"/>
    </row>
    <row r="383" spans="1:25" ht="25.5" customHeight="1" x14ac:dyDescent="0.25">
      <c r="A383" s="87"/>
      <c r="B383" s="87"/>
      <c r="C383" s="87"/>
      <c r="D383" s="87"/>
      <c r="E383" s="87"/>
      <c r="F383" s="87"/>
      <c r="G383" s="87"/>
      <c r="H383" s="87"/>
      <c r="I383" s="3"/>
      <c r="J383" s="3"/>
      <c r="K383" s="3"/>
      <c r="L383" s="87"/>
      <c r="M383" s="87"/>
      <c r="N383" s="87"/>
      <c r="O383" s="87"/>
      <c r="P383" s="87"/>
      <c r="Q383" s="87"/>
      <c r="R383" s="87"/>
      <c r="S383" s="2"/>
      <c r="T383" s="2"/>
      <c r="U383" s="2"/>
      <c r="V383" s="2"/>
      <c r="W383" s="87"/>
      <c r="X383" s="87"/>
      <c r="Y383" s="87"/>
    </row>
    <row r="384" spans="1:25" ht="25.5" customHeight="1" x14ac:dyDescent="0.25">
      <c r="A384" s="89" t="s">
        <v>1862</v>
      </c>
      <c r="B384" s="89"/>
      <c r="C384" s="89"/>
      <c r="D384" s="89"/>
      <c r="E384" s="89"/>
      <c r="F384" s="89"/>
      <c r="G384" s="90"/>
      <c r="H384" s="90"/>
      <c r="I384" s="3"/>
      <c r="J384" s="3"/>
      <c r="K384" s="3"/>
      <c r="L384" s="90"/>
      <c r="M384" s="90"/>
      <c r="N384" s="90"/>
      <c r="O384" s="89" t="s">
        <v>1863</v>
      </c>
      <c r="P384" s="89"/>
      <c r="Q384" s="89"/>
      <c r="R384" s="89"/>
      <c r="S384" s="89"/>
      <c r="T384" s="2"/>
      <c r="U384" s="2"/>
      <c r="V384" s="2"/>
      <c r="W384" s="89" t="s">
        <v>1864</v>
      </c>
      <c r="X384" s="89"/>
      <c r="Y384" s="89"/>
    </row>
  </sheetData>
  <autoFilter ref="A8:Y375" xr:uid="{B4A546B5-C106-447C-9455-94960C8A8A13}"/>
  <mergeCells count="16">
    <mergeCell ref="A384:F384"/>
    <mergeCell ref="O384:S384"/>
    <mergeCell ref="W384:Y384"/>
    <mergeCell ref="A6:X6"/>
    <mergeCell ref="A373:Q373"/>
    <mergeCell ref="A374:T374"/>
    <mergeCell ref="A375:T375"/>
    <mergeCell ref="A377:F377"/>
    <mergeCell ref="O377:S377"/>
    <mergeCell ref="W377:Y377"/>
    <mergeCell ref="A1:F1"/>
    <mergeCell ref="P1:Y1"/>
    <mergeCell ref="A2:F2"/>
    <mergeCell ref="P2:Y2"/>
    <mergeCell ref="A4:X4"/>
    <mergeCell ref="A5:X5"/>
  </mergeCells>
  <conditionalFormatting sqref="D376 D378:D383">
    <cfRule type="duplicateValues" dxfId="85" priority="1"/>
    <cfRule type="duplicateValues" dxfId="84" priority="2"/>
  </conditionalFormatting>
  <conditionalFormatting sqref="D385:D1048576 D8:D256">
    <cfRule type="duplicateValues" dxfId="83" priority="75"/>
  </conditionalFormatting>
  <conditionalFormatting sqref="E90">
    <cfRule type="duplicateValues" dxfId="82" priority="55"/>
    <cfRule type="duplicateValues" dxfId="81" priority="56"/>
    <cfRule type="duplicateValues" dxfId="80" priority="57"/>
  </conditionalFormatting>
  <conditionalFormatting sqref="E159:E161">
    <cfRule type="duplicateValues" dxfId="79" priority="73"/>
  </conditionalFormatting>
  <conditionalFormatting sqref="E167">
    <cfRule type="duplicateValues" dxfId="78" priority="65"/>
  </conditionalFormatting>
  <conditionalFormatting sqref="E171">
    <cfRule type="duplicateValues" dxfId="77" priority="64"/>
  </conditionalFormatting>
  <conditionalFormatting sqref="E196">
    <cfRule type="duplicateValues" dxfId="76" priority="58"/>
    <cfRule type="duplicateValues" dxfId="75" priority="59"/>
  </conditionalFormatting>
  <conditionalFormatting sqref="E200:E202">
    <cfRule type="duplicateValues" dxfId="74" priority="83"/>
  </conditionalFormatting>
  <conditionalFormatting sqref="E203:E206">
    <cfRule type="duplicateValues" dxfId="73" priority="71"/>
  </conditionalFormatting>
  <conditionalFormatting sqref="E210">
    <cfRule type="duplicateValues" dxfId="72" priority="61"/>
  </conditionalFormatting>
  <conditionalFormatting sqref="E215">
    <cfRule type="duplicateValues" dxfId="71" priority="82"/>
  </conditionalFormatting>
  <conditionalFormatting sqref="E226 E223:E224">
    <cfRule type="duplicateValues" dxfId="70" priority="62"/>
  </conditionalFormatting>
  <conditionalFormatting sqref="E227:E236">
    <cfRule type="duplicateValues" dxfId="69" priority="81"/>
  </conditionalFormatting>
  <conditionalFormatting sqref="E237:E245 E247:E251">
    <cfRule type="duplicateValues" dxfId="68" priority="79"/>
    <cfRule type="duplicateValues" dxfId="67" priority="80"/>
  </conditionalFormatting>
  <conditionalFormatting sqref="E246">
    <cfRule type="duplicateValues" dxfId="66" priority="45"/>
    <cfRule type="duplicateValues" dxfId="65" priority="46"/>
    <cfRule type="duplicateValues" dxfId="64" priority="47"/>
    <cfRule type="duplicateValues" dxfId="63" priority="48"/>
  </conditionalFormatting>
  <conditionalFormatting sqref="E252">
    <cfRule type="duplicateValues" dxfId="62" priority="49"/>
    <cfRule type="duplicateValues" dxfId="61" priority="50"/>
  </conditionalFormatting>
  <conditionalFormatting sqref="E253:E256">
    <cfRule type="duplicateValues" dxfId="60" priority="74"/>
  </conditionalFormatting>
  <conditionalFormatting sqref="E257:E259 E263">
    <cfRule type="duplicateValues" dxfId="59" priority="31"/>
    <cfRule type="duplicateValues" dxfId="58" priority="32"/>
  </conditionalFormatting>
  <conditionalFormatting sqref="E260">
    <cfRule type="duplicateValues" dxfId="57" priority="22"/>
    <cfRule type="duplicateValues" dxfId="56" priority="23"/>
  </conditionalFormatting>
  <conditionalFormatting sqref="E261">
    <cfRule type="duplicateValues" dxfId="55" priority="20"/>
    <cfRule type="duplicateValues" dxfId="54" priority="21"/>
  </conditionalFormatting>
  <conditionalFormatting sqref="E262">
    <cfRule type="duplicateValues" dxfId="53" priority="18"/>
    <cfRule type="duplicateValues" dxfId="52" priority="19"/>
  </conditionalFormatting>
  <conditionalFormatting sqref="E264">
    <cfRule type="duplicateValues" dxfId="51" priority="28"/>
    <cfRule type="duplicateValues" dxfId="50" priority="29"/>
    <cfRule type="duplicateValues" dxfId="49" priority="30"/>
  </conditionalFormatting>
  <conditionalFormatting sqref="E265">
    <cfRule type="duplicateValues" dxfId="48" priority="24"/>
    <cfRule type="duplicateValues" dxfId="47" priority="25"/>
    <cfRule type="duplicateValues" dxfId="46" priority="26"/>
  </conditionalFormatting>
  <conditionalFormatting sqref="E266">
    <cfRule type="duplicateValues" dxfId="45" priority="15"/>
    <cfRule type="duplicateValues" dxfId="44" priority="16"/>
    <cfRule type="duplicateValues" dxfId="43" priority="17"/>
  </conditionalFormatting>
  <conditionalFormatting sqref="E304:E312">
    <cfRule type="duplicateValues" dxfId="42" priority="36"/>
    <cfRule type="duplicateValues" dxfId="41" priority="37"/>
    <cfRule type="duplicateValues" dxfId="40" priority="38"/>
    <cfRule type="duplicateValues" dxfId="39" priority="39"/>
  </conditionalFormatting>
  <conditionalFormatting sqref="E326 E321 E366:E372">
    <cfRule type="duplicateValues" dxfId="38" priority="85"/>
    <cfRule type="duplicateValues" dxfId="37" priority="86"/>
  </conditionalFormatting>
  <conditionalFormatting sqref="E333">
    <cfRule type="duplicateValues" dxfId="36" priority="12"/>
  </conditionalFormatting>
  <conditionalFormatting sqref="E336">
    <cfRule type="duplicateValues" dxfId="35" priority="33"/>
    <cfRule type="duplicateValues" dxfId="34" priority="34"/>
    <cfRule type="duplicateValues" dxfId="33" priority="35"/>
  </conditionalFormatting>
  <conditionalFormatting sqref="E337:E338">
    <cfRule type="duplicateValues" dxfId="32" priority="11"/>
  </conditionalFormatting>
  <conditionalFormatting sqref="E339:E352 E267:E303">
    <cfRule type="duplicateValues" dxfId="31" priority="42"/>
    <cfRule type="duplicateValues" dxfId="30" priority="43"/>
    <cfRule type="duplicateValues" dxfId="29" priority="44"/>
  </conditionalFormatting>
  <conditionalFormatting sqref="E353:E365">
    <cfRule type="duplicateValues" dxfId="28" priority="8"/>
    <cfRule type="duplicateValues" dxfId="27" priority="9"/>
    <cfRule type="duplicateValues" dxfId="26" priority="10"/>
  </conditionalFormatting>
  <conditionalFormatting sqref="E385:E1048576 E8:E372">
    <cfRule type="duplicateValues" dxfId="25" priority="3"/>
    <cfRule type="duplicateValues" dxfId="24" priority="4"/>
  </conditionalFormatting>
  <conditionalFormatting sqref="E385:E1048576 E91:E236 E8:E89">
    <cfRule type="duplicateValues" dxfId="23" priority="76"/>
  </conditionalFormatting>
  <conditionalFormatting sqref="E385:E1048576 E207:E209 E211:E214 E91:E195 E8:E89">
    <cfRule type="duplicateValues" dxfId="22" priority="77"/>
  </conditionalFormatting>
  <conditionalFormatting sqref="E385:E1048576 E207:E209 E211:E214 E170 E91:E158 E9:E89">
    <cfRule type="duplicateValues" dxfId="21" priority="84"/>
  </conditionalFormatting>
  <conditionalFormatting sqref="E385:E1048576 E226:E236 E197:E224 E91:E195 E8:E89">
    <cfRule type="duplicateValues" dxfId="20" priority="78"/>
  </conditionalFormatting>
  <conditionalFormatting sqref="F264">
    <cfRule type="duplicateValues" dxfId="19" priority="27"/>
  </conditionalFormatting>
  <conditionalFormatting sqref="F305">
    <cfRule type="duplicateValues" dxfId="18" priority="40"/>
    <cfRule type="duplicateValues" dxfId="17" priority="41"/>
  </conditionalFormatting>
  <conditionalFormatting sqref="F315:F316">
    <cfRule type="duplicateValues" dxfId="16" priority="13"/>
    <cfRule type="duplicateValues" dxfId="15" priority="14"/>
  </conditionalFormatting>
  <conditionalFormatting sqref="F366">
    <cfRule type="duplicateValues" dxfId="14" priority="5"/>
    <cfRule type="duplicateValues" dxfId="13" priority="6"/>
    <cfRule type="duplicateValues" dxfId="12" priority="7"/>
  </conditionalFormatting>
  <conditionalFormatting sqref="W248">
    <cfRule type="duplicateValues" dxfId="11" priority="53"/>
    <cfRule type="duplicateValues" dxfId="10" priority="54"/>
  </conditionalFormatting>
  <conditionalFormatting sqref="W249">
    <cfRule type="duplicateValues" dxfId="9" priority="51"/>
    <cfRule type="duplicateValues" dxfId="8" priority="52"/>
  </conditionalFormatting>
  <conditionalFormatting sqref="X118">
    <cfRule type="duplicateValues" dxfId="7" priority="63"/>
  </conditionalFormatting>
  <conditionalFormatting sqref="X131">
    <cfRule type="duplicateValues" dxfId="6" priority="70"/>
  </conditionalFormatting>
  <conditionalFormatting sqref="X132">
    <cfRule type="duplicateValues" dxfId="5" priority="69"/>
  </conditionalFormatting>
  <conditionalFormatting sqref="X133">
    <cfRule type="duplicateValues" dxfId="4" priority="68"/>
  </conditionalFormatting>
  <conditionalFormatting sqref="X134">
    <cfRule type="duplicateValues" dxfId="3" priority="67"/>
  </conditionalFormatting>
  <conditionalFormatting sqref="X135">
    <cfRule type="duplicateValues" dxfId="2" priority="66"/>
  </conditionalFormatting>
  <conditionalFormatting sqref="X203:X204">
    <cfRule type="duplicateValues" dxfId="1" priority="72"/>
  </conditionalFormatting>
  <conditionalFormatting sqref="X235">
    <cfRule type="duplicateValues" dxfId="0" priority="60"/>
  </conditionalFormatting>
  <printOptions horizontalCentered="1"/>
  <pageMargins left="0.19685039370078741" right="0.19685039370078741" top="0.39370078740157483" bottom="0.39370078740157483" header="0.19685039370078741" footer="0.19685039370078741"/>
  <pageSetup paperSize="9" scale="46" fitToHeight="0" orientation="landscape" r:id="rId1"/>
  <headerFooter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MGHP PHẦN 1</vt:lpstr>
      <vt:lpstr>'MGHP PHẦN 1'!Print_Area</vt:lpstr>
      <vt:lpstr>'MGHP PHẦN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Thị Hải Huyền</dc:creator>
  <cp:lastModifiedBy>Võ Thị Hải Huyền</cp:lastModifiedBy>
  <dcterms:created xsi:type="dcterms:W3CDTF">2025-12-03T06:48:50Z</dcterms:created>
  <dcterms:modified xsi:type="dcterms:W3CDTF">2025-12-03T06:50:00Z</dcterms:modified>
</cp:coreProperties>
</file>