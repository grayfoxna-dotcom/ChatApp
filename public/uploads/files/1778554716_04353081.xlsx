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B6F161D6-BA8D-4CBB-8354-0C7561881AE2}" xr6:coauthVersionLast="47" xr6:coauthVersionMax="47" xr10:uidLastSave="{00000000-0000-0000-0000-000000000000}"/>
  <bookViews>
    <workbookView xWindow="-110" yWindow="-110" windowWidth="19420" windowHeight="11500" firstSheet="1" activeTab="1" xr2:uid="{12513D1A-223C-496C-96C1-2358B4066F3E}"/>
  </bookViews>
  <sheets>
    <sheet name="MGHP (RÀ CHUẨN)" sheetId="3" r:id="rId1"/>
    <sheet name="MGHP (BS)" sheetId="2" r:id="rId2"/>
    <sheet name="HTCPHT (RÀ CHUẨN)" sheetId="7" r:id="rId3"/>
    <sheet name="HTCPHT (BS)" sheetId="8" r:id="rId4"/>
    <sheet name="TCXH (RÀ CHUẨN)" sheetId="9" r:id="rId5"/>
    <sheet name="TCXH (BS)" sheetId="10" r:id="rId6"/>
    <sheet name="Mức tiền" sheetId="4" r:id="rId7"/>
  </sheets>
  <definedNames>
    <definedName name="_xlnm._FilterDatabase" localSheetId="1" hidden="1">'MGHP (BS)'!$A$7:$V$7</definedName>
    <definedName name="_xlnm._FilterDatabase" localSheetId="0" hidden="1">'MGHP (RÀ CHUẨN)'!$A$7:$V$7</definedName>
    <definedName name="_xlnm.Print_Area" localSheetId="1">'MGHP (BS)'!$A$1:$V$30</definedName>
    <definedName name="_xlnm.Print_Area" localSheetId="0">'MGHP (RÀ CHUẨN)'!$A$1:$W$82</definedName>
    <definedName name="_xlnm.Print_Titles" localSheetId="1">'MGHP (BS)'!$7:$7</definedName>
    <definedName name="_xlnm.Print_Titles" localSheetId="0">'MGHP (RÀ CHUẨN)'!$7:$7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7" i="3" l="1"/>
  <c r="R66" i="3"/>
  <c r="R64" i="3"/>
  <c r="R63" i="3"/>
  <c r="R62" i="3"/>
  <c r="R61" i="3"/>
  <c r="R60" i="3"/>
  <c r="R15" i="2"/>
  <c r="R14" i="2"/>
  <c r="R12" i="2"/>
  <c r="R11" i="2"/>
  <c r="R10" i="2"/>
  <c r="R9" i="2"/>
  <c r="R8" i="2"/>
  <c r="P68" i="3"/>
  <c r="P16" i="2"/>
  <c r="J18" i="7"/>
  <c r="J11" i="8"/>
  <c r="L21" i="9"/>
  <c r="J21" i="9"/>
  <c r="L12" i="10"/>
  <c r="J12" i="10"/>
  <c r="L10" i="8"/>
  <c r="L17" i="7"/>
  <c r="L15" i="9"/>
  <c r="R16" i="2" l="1"/>
  <c r="R68" i="3"/>
  <c r="L9" i="8"/>
  <c r="L11" i="8" s="1"/>
  <c r="L16" i="7"/>
  <c r="L15" i="7"/>
  <c r="L14" i="7"/>
  <c r="L13" i="7"/>
  <c r="L12" i="7"/>
  <c r="L11" i="7"/>
  <c r="L10" i="7"/>
  <c r="L9" i="7"/>
  <c r="L18" i="7" l="1"/>
</calcChain>
</file>

<file path=xl/sharedStrings.xml><?xml version="1.0" encoding="utf-8"?>
<sst xmlns="http://schemas.openxmlformats.org/spreadsheetml/2006/main" count="1251" uniqueCount="455">
  <si>
    <t>BỘ GIÁO DỤC VÀ ĐÀO TẠO</t>
  </si>
  <si>
    <t>CỘNG HÒA XÃ HỘI CHỦ NGHĨA VIỆT NAM</t>
  </si>
  <si>
    <t>TRƯỜNG ĐẠI HỌC VINH</t>
  </si>
  <si>
    <t>Độc lập - Tự do - Hạnh phúc</t>
  </si>
  <si>
    <t>TT</t>
  </si>
  <si>
    <t>MS MG</t>
  </si>
  <si>
    <t>MSKB</t>
  </si>
  <si>
    <t>MSSV</t>
  </si>
  <si>
    <t>Họ và tên</t>
  </si>
  <si>
    <t>Khóa</t>
  </si>
  <si>
    <t>Lớp</t>
  </si>
  <si>
    <t>Ngành</t>
  </si>
  <si>
    <t>Trường, viện, khoa</t>
  </si>
  <si>
    <t>TT đơn vị</t>
  </si>
  <si>
    <t>Nhóm ngành</t>
  </si>
  <si>
    <t>Đối tượng 
chính sách</t>
  </si>
  <si>
    <t>Miễn/
giảm</t>
  </si>
  <si>
    <t>Ghi chú</t>
  </si>
  <si>
    <t>MỨC TRẦN ĐHV</t>
  </si>
  <si>
    <t>Số tiền đ/tháng</t>
  </si>
  <si>
    <t>Số tháng</t>
  </si>
  <si>
    <t>Thành tiền</t>
  </si>
  <si>
    <t>CMTND/
CCCD</t>
  </si>
  <si>
    <t>Số ĐT</t>
  </si>
  <si>
    <t xml:space="preserve">Số tài khoản </t>
  </si>
  <si>
    <t>Ngân hàng</t>
  </si>
  <si>
    <t>DTTS, HN/HCN</t>
  </si>
  <si>
    <t>Miễn</t>
  </si>
  <si>
    <t>Thái</t>
  </si>
  <si>
    <t xml:space="preserve">Vietin Bank </t>
  </si>
  <si>
    <t>Con người bị TNLĐ/BNN</t>
  </si>
  <si>
    <t xml:space="preserve">Giảm 50%  </t>
  </si>
  <si>
    <t>Con TB/BB</t>
  </si>
  <si>
    <t xml:space="preserve">DTTS, VĐBKK </t>
  </si>
  <si>
    <t>Giảm 70%</t>
  </si>
  <si>
    <t>SV khuyết tật</t>
  </si>
  <si>
    <t>BIDV</t>
  </si>
  <si>
    <t>Con mồ côi</t>
  </si>
  <si>
    <t>Vietcom Bank</t>
  </si>
  <si>
    <t>MB bank</t>
  </si>
  <si>
    <t>Vi Tuấn Anh</t>
  </si>
  <si>
    <t>65K1</t>
  </si>
  <si>
    <t>Viện KT&amp;CN</t>
  </si>
  <si>
    <t>62K1</t>
  </si>
  <si>
    <t>63K1</t>
  </si>
  <si>
    <t>63K2</t>
  </si>
  <si>
    <t>64K2</t>
  </si>
  <si>
    <t>65K2</t>
  </si>
  <si>
    <t>65K3</t>
  </si>
  <si>
    <t>Công nghệ thông tin</t>
  </si>
  <si>
    <t>215748020110165</t>
  </si>
  <si>
    <t>Cao Minh Quân</t>
  </si>
  <si>
    <t>188042764</t>
  </si>
  <si>
    <t>0961089613</t>
  </si>
  <si>
    <t>106875591156</t>
  </si>
  <si>
    <t>215748020110250</t>
  </si>
  <si>
    <t>Phan Công Mạnh</t>
  </si>
  <si>
    <t>62K4</t>
  </si>
  <si>
    <t>096346437</t>
  </si>
  <si>
    <t>109875593163</t>
  </si>
  <si>
    <t>215748020110479</t>
  </si>
  <si>
    <t>Đặng Anh Quân</t>
  </si>
  <si>
    <t>187969117</t>
  </si>
  <si>
    <t>0327867953</t>
  </si>
  <si>
    <t>107874807107</t>
  </si>
  <si>
    <t>215748020110013</t>
  </si>
  <si>
    <t>Nguyễn Ngọc Anh Tuấn</t>
  </si>
  <si>
    <t>0975785395</t>
  </si>
  <si>
    <t>102875780317</t>
  </si>
  <si>
    <t>215748020110063</t>
  </si>
  <si>
    <t>Nguyễn Thị Hồng</t>
  </si>
  <si>
    <t>0382621342</t>
  </si>
  <si>
    <t>101873265274</t>
  </si>
  <si>
    <t>215748020110233</t>
  </si>
  <si>
    <t>Phan Văn Bảo Khanh</t>
  </si>
  <si>
    <t>0397579771</t>
  </si>
  <si>
    <t>106874807108</t>
  </si>
  <si>
    <t>215748020110238</t>
  </si>
  <si>
    <t>Hồ Quyết Thắng</t>
  </si>
  <si>
    <t>187882244</t>
  </si>
  <si>
    <t>0396510005</t>
  </si>
  <si>
    <t>105875591169</t>
  </si>
  <si>
    <t>215748020110388</t>
  </si>
  <si>
    <t>Lô Văn Hòa</t>
  </si>
  <si>
    <t>62K7</t>
  </si>
  <si>
    <t>040203002942</t>
  </si>
  <si>
    <t>0976617586</t>
  </si>
  <si>
    <t>104875593308</t>
  </si>
  <si>
    <t>215748020110367</t>
  </si>
  <si>
    <t>Hoàng Văn Minh</t>
  </si>
  <si>
    <t>62K6</t>
  </si>
  <si>
    <t>040203021199</t>
  </si>
  <si>
    <t>0799019277</t>
  </si>
  <si>
    <t>215748020110035</t>
  </si>
  <si>
    <t>Nguyễn Tùng Quân</t>
  </si>
  <si>
    <t>040203023614</t>
  </si>
  <si>
    <t>0383230532</t>
  </si>
  <si>
    <t>104880714636</t>
  </si>
  <si>
    <t>225748020110012</t>
  </si>
  <si>
    <t>Hoàng Tiến Đạt</t>
  </si>
  <si>
    <t>04020405648</t>
  </si>
  <si>
    <t>0368240078</t>
  </si>
  <si>
    <t>109876822289</t>
  </si>
  <si>
    <t>225748020110062</t>
  </si>
  <si>
    <t>Nguyễn Phan Duy Hưng</t>
  </si>
  <si>
    <t>040204001134</t>
  </si>
  <si>
    <t>0842266969</t>
  </si>
  <si>
    <t>105877362958</t>
  </si>
  <si>
    <t>225748020110125</t>
  </si>
  <si>
    <t>Hồ Quang Việt</t>
  </si>
  <si>
    <t>040204002040</t>
  </si>
  <si>
    <t>0382216294</t>
  </si>
  <si>
    <t>102877439147</t>
  </si>
  <si>
    <t>225748020110071</t>
  </si>
  <si>
    <t>Lương Thành Đạo</t>
  </si>
  <si>
    <t>040204008951</t>
  </si>
  <si>
    <t>0383263337</t>
  </si>
  <si>
    <t>104877439099</t>
  </si>
  <si>
    <t>225748020110129</t>
  </si>
  <si>
    <t>Lê Đức Ánh</t>
  </si>
  <si>
    <t>63K3</t>
  </si>
  <si>
    <t>040203023043</t>
  </si>
  <si>
    <t>0337932510</t>
  </si>
  <si>
    <t>103877439528</t>
  </si>
  <si>
    <t>225748020110221</t>
  </si>
  <si>
    <t>Đào Mạnh Đạt</t>
  </si>
  <si>
    <t>63K4</t>
  </si>
  <si>
    <t>040204002256</t>
  </si>
  <si>
    <t>0981686704</t>
  </si>
  <si>
    <t>108877377314</t>
  </si>
  <si>
    <t>225748020110246</t>
  </si>
  <si>
    <t>Trần Thế Anh Đức</t>
  </si>
  <si>
    <t>042204000436</t>
  </si>
  <si>
    <t>0862216731</t>
  </si>
  <si>
    <t>109875468617</t>
  </si>
  <si>
    <t>225748020110228</t>
  </si>
  <si>
    <t>Hà Văn Hiệp</t>
  </si>
  <si>
    <t>040204016111</t>
  </si>
  <si>
    <t>0943853126</t>
  </si>
  <si>
    <t>103877377319</t>
  </si>
  <si>
    <t>225748020110317</t>
  </si>
  <si>
    <t>Vy Mạnh Hùng</t>
  </si>
  <si>
    <t>63K6</t>
  </si>
  <si>
    <t>040203006330</t>
  </si>
  <si>
    <t>0336274641</t>
  </si>
  <si>
    <t>104877385784</t>
  </si>
  <si>
    <t>225748020110026</t>
  </si>
  <si>
    <t>Lang Văn Nguyên</t>
  </si>
  <si>
    <t>040204027148</t>
  </si>
  <si>
    <t>0363791901</t>
  </si>
  <si>
    <t>108877362928</t>
  </si>
  <si>
    <t>235748020110060</t>
  </si>
  <si>
    <t>Phan Bảo Thạch</t>
  </si>
  <si>
    <t>64K1</t>
  </si>
  <si>
    <t>040205027736</t>
  </si>
  <si>
    <t>0852822327</t>
  </si>
  <si>
    <t>8830266290</t>
  </si>
  <si>
    <t>235748020110098</t>
  </si>
  <si>
    <t>Phạm Trung Kiên</t>
  </si>
  <si>
    <t>042205012513</t>
  </si>
  <si>
    <t>0966426213</t>
  </si>
  <si>
    <t>8800288105</t>
  </si>
  <si>
    <t>235748020110149</t>
  </si>
  <si>
    <t>Vang Đình Lăng</t>
  </si>
  <si>
    <t>64K3</t>
  </si>
  <si>
    <t>040205024238</t>
  </si>
  <si>
    <t>09419148125</t>
  </si>
  <si>
    <t>8860266328</t>
  </si>
  <si>
    <t>235748020110139</t>
  </si>
  <si>
    <t>Phan Thế Anh</t>
  </si>
  <si>
    <t>040204017159</t>
  </si>
  <si>
    <t>0346043203</t>
  </si>
  <si>
    <t>5181012481</t>
  </si>
  <si>
    <t>235748020110071</t>
  </si>
  <si>
    <t>Trần Văn Thắng</t>
  </si>
  <si>
    <t>040205004966</t>
  </si>
  <si>
    <t>0374967610</t>
  </si>
  <si>
    <t>8820288094</t>
  </si>
  <si>
    <t>235748020110210</t>
  </si>
  <si>
    <t>Trần Mạnh Linh</t>
  </si>
  <si>
    <t>64K4</t>
  </si>
  <si>
    <t>0402204003359</t>
  </si>
  <si>
    <t>0868066018</t>
  </si>
  <si>
    <t>8830288148</t>
  </si>
  <si>
    <t>235748020110202</t>
  </si>
  <si>
    <t>Chu Trí Tài</t>
  </si>
  <si>
    <t>040205015451</t>
  </si>
  <si>
    <t>0343196864</t>
  </si>
  <si>
    <t>8880266356</t>
  </si>
  <si>
    <t>235748020110300</t>
  </si>
  <si>
    <t>Hồ Sỹ An</t>
  </si>
  <si>
    <t>64K5</t>
  </si>
  <si>
    <t>040205002532</t>
  </si>
  <si>
    <t>0325663039</t>
  </si>
  <si>
    <t>8810266413</t>
  </si>
  <si>
    <t>235748020110293</t>
  </si>
  <si>
    <t>040204011710</t>
  </si>
  <si>
    <t>0366513910</t>
  </si>
  <si>
    <t>8820288179</t>
  </si>
  <si>
    <t>245748020110066</t>
  </si>
  <si>
    <t>Trần Anh Đức</t>
  </si>
  <si>
    <t>040205019736</t>
  </si>
  <si>
    <t>0916424037</t>
  </si>
  <si>
    <t>245748020110016</t>
  </si>
  <si>
    <t>Vi Thị Nương</t>
  </si>
  <si>
    <t>040303025526</t>
  </si>
  <si>
    <t>0865158798</t>
  </si>
  <si>
    <t>000005916592</t>
  </si>
  <si>
    <t>Seabank</t>
  </si>
  <si>
    <t>245748020110024</t>
  </si>
  <si>
    <t>Hà Định An</t>
  </si>
  <si>
    <t>040205019136</t>
  </si>
  <si>
    <t>0311902226</t>
  </si>
  <si>
    <t>0948286327</t>
  </si>
  <si>
    <t>245748020110081</t>
  </si>
  <si>
    <t>Kha Vi Hạ</t>
  </si>
  <si>
    <t>040206020158</t>
  </si>
  <si>
    <t>0814563731</t>
  </si>
  <si>
    <t>245748020110189</t>
  </si>
  <si>
    <t>Lương Trí Tưởng</t>
  </si>
  <si>
    <t>040205025013</t>
  </si>
  <si>
    <t>0915753619</t>
  </si>
  <si>
    <t>0372782297</t>
  </si>
  <si>
    <t>245748020110285</t>
  </si>
  <si>
    <t>Nguyễn Thị Ngọc Ánh</t>
  </si>
  <si>
    <t>65K4</t>
  </si>
  <si>
    <t>040306002373</t>
  </si>
  <si>
    <t>0384078119</t>
  </si>
  <si>
    <t>1037238164</t>
  </si>
  <si>
    <t>245748020110233</t>
  </si>
  <si>
    <t>Võ Quang Hoàn</t>
  </si>
  <si>
    <t>042206005971</t>
  </si>
  <si>
    <t>0388782259</t>
  </si>
  <si>
    <t>1209090990</t>
  </si>
  <si>
    <t>245748020110273</t>
  </si>
  <si>
    <t>Hà Ngọc Đức</t>
  </si>
  <si>
    <t>040306027217</t>
  </si>
  <si>
    <t>0348108306</t>
  </si>
  <si>
    <t>8873019370</t>
  </si>
  <si>
    <t>215748020110496</t>
  </si>
  <si>
    <t>Trương Trung Dũng</t>
  </si>
  <si>
    <t>62K</t>
  </si>
  <si>
    <t>Công nghệ thông tin CLC</t>
  </si>
  <si>
    <t>187844943</t>
  </si>
  <si>
    <t>0898649747</t>
  </si>
  <si>
    <t>102869107844</t>
  </si>
  <si>
    <t>225748020110028</t>
  </si>
  <si>
    <t>Trần Đức Nhân</t>
  </si>
  <si>
    <t>63K</t>
  </si>
  <si>
    <t>184457121</t>
  </si>
  <si>
    <t>0965583236</t>
  </si>
  <si>
    <t>108877385701</t>
  </si>
  <si>
    <t>225748020110098</t>
  </si>
  <si>
    <t>Lê Xuân Hùng</t>
  </si>
  <si>
    <t>0402204004244</t>
  </si>
  <si>
    <t>0355707763</t>
  </si>
  <si>
    <t>102877385710</t>
  </si>
  <si>
    <t>225748020110227</t>
  </si>
  <si>
    <t>Trần Lê Tuấn Anh</t>
  </si>
  <si>
    <t>040204000556</t>
  </si>
  <si>
    <t>0862420204</t>
  </si>
  <si>
    <t>103877385721</t>
  </si>
  <si>
    <t>235748020110167</t>
  </si>
  <si>
    <t>Đậu Xuân Duẫn</t>
  </si>
  <si>
    <t>64K</t>
  </si>
  <si>
    <t>042205011861</t>
  </si>
  <si>
    <t>0347238507</t>
  </si>
  <si>
    <t>8880293914</t>
  </si>
  <si>
    <t>235748020110117</t>
  </si>
  <si>
    <t>Lê Thanh Nga</t>
  </si>
  <si>
    <t>040205025165</t>
  </si>
  <si>
    <t>0962036742</t>
  </si>
  <si>
    <t>8800288202</t>
  </si>
  <si>
    <t>Kỹ thuật phần mềm</t>
  </si>
  <si>
    <t>215748010310012</t>
  </si>
  <si>
    <t>Trần Văn Hoàng</t>
  </si>
  <si>
    <t xml:space="preserve">62K </t>
  </si>
  <si>
    <t>187978772</t>
  </si>
  <si>
    <t>0867752637</t>
  </si>
  <si>
    <t>109875724087</t>
  </si>
  <si>
    <t>215748010310006</t>
  </si>
  <si>
    <t>042203011205</t>
  </si>
  <si>
    <t>0397941915</t>
  </si>
  <si>
    <t>105874807109</t>
  </si>
  <si>
    <t>215748010110011</t>
  </si>
  <si>
    <t>Võ Quang Sáng</t>
  </si>
  <si>
    <t>Khoa học máy tính</t>
  </si>
  <si>
    <t>187950365</t>
  </si>
  <si>
    <t>0364922366</t>
  </si>
  <si>
    <t>109872058292</t>
  </si>
  <si>
    <t>225748010110031</t>
  </si>
  <si>
    <t>Vi Thanh Thượng</t>
  </si>
  <si>
    <t>040204001719</t>
  </si>
  <si>
    <t>0963854349</t>
  </si>
  <si>
    <t>105877394122</t>
  </si>
  <si>
    <t>225748010110028</t>
  </si>
  <si>
    <t>Đinh Xuân Phúc</t>
  </si>
  <si>
    <t>040203002865</t>
  </si>
  <si>
    <t>0925963770</t>
  </si>
  <si>
    <t>104874724620</t>
  </si>
  <si>
    <t>235748010110016</t>
  </si>
  <si>
    <t>Trần Đức Tâm</t>
  </si>
  <si>
    <t>040205019537</t>
  </si>
  <si>
    <t>0389877647</t>
  </si>
  <si>
    <t>8810293887</t>
  </si>
  <si>
    <t>235748010110024</t>
  </si>
  <si>
    <t>La Trung Tuyến</t>
  </si>
  <si>
    <t>040200004329</t>
  </si>
  <si>
    <t>0384940046</t>
  </si>
  <si>
    <t>8830293894</t>
  </si>
  <si>
    <t>235748010110013</t>
  </si>
  <si>
    <t>Cao Minh Gia Minh</t>
  </si>
  <si>
    <t>040205026950</t>
  </si>
  <si>
    <t>0357131005</t>
  </si>
  <si>
    <t>5130034089</t>
  </si>
  <si>
    <t>Trương Văn Tú</t>
  </si>
  <si>
    <t>04026015584</t>
  </si>
  <si>
    <t>0974347958</t>
  </si>
  <si>
    <t>65K</t>
  </si>
  <si>
    <t>TỔNG</t>
  </si>
  <si>
    <t>Nghệ An, ngày       tháng       năm 2025</t>
  </si>
  <si>
    <t>TRƯỞNG ĐƠN VỊ</t>
  </si>
  <si>
    <t>TRỢ LÝ QUẢN LÝ SINH VIÊN</t>
  </si>
  <si>
    <r>
      <t xml:space="preserve">DANH SÁCH </t>
    </r>
    <r>
      <rPr>
        <b/>
        <u/>
        <sz val="20"/>
        <color rgb="FFFF0000"/>
        <rFont val="Times New Roman"/>
        <family val="1"/>
      </rPr>
      <t>BỔ SUNG</t>
    </r>
    <r>
      <rPr>
        <b/>
        <sz val="20"/>
        <color theme="1"/>
        <rFont val="Times New Roman"/>
        <family val="1"/>
      </rPr>
      <t xml:space="preserve"> HỒ SƠ MIỄN GIẢM HỌC PHÍ CHO SINH VIÊN HỆ CHÍNH QUY</t>
    </r>
  </si>
  <si>
    <t>DANH SÁCH ĐỀ NGHỊ MIỄN GIẢM HỌC PHÍ CHO SINH VIÊN HỆ CHÍNH QUY</t>
  </si>
  <si>
    <t>Khối ngành</t>
  </si>
  <si>
    <t>Định mức</t>
  </si>
  <si>
    <t>Giảm 50%</t>
  </si>
  <si>
    <t>Khoa học Giáo dục và đào tạo giáo viên</t>
  </si>
  <si>
    <t>Kinh doanh và quản lý, pháp luật</t>
  </si>
  <si>
    <t>Khoa học sự sống, khoa học tự nhiên</t>
  </si>
  <si>
    <t>Toán và thống kê, máy tính và công nghệ thông tin, công nghệ kỹ thuật, kỹ thuật, sản xuất và chế biến, kiến trúc và xây dựng, nông lâm nghiệp và thủy sản, thú y</t>
  </si>
  <si>
    <t>Các khối ngành sức khỏe</t>
  </si>
  <si>
    <t>Khối ngành nhân văn, khoa học xã hội và hành vi, báo chí và thông tin, dịch vụ xã hội, du lịch, khách sạn thể dục thể thao, dịch vụ vận tải, môi trường và bảo vệ môi trường</t>
  </si>
  <si>
    <t>VIỆN KTCN</t>
  </si>
  <si>
    <t>BS Mới</t>
  </si>
  <si>
    <t>HOÀNG CẨM NHUNG</t>
  </si>
  <si>
    <t>245748020110170</t>
  </si>
  <si>
    <t>Ngô Thị Thùy Linh</t>
  </si>
  <si>
    <t>042304000333</t>
  </si>
  <si>
    <t>0386263166</t>
  </si>
  <si>
    <t>ĐẶNG THỊ BÍCH HẠNH</t>
  </si>
  <si>
    <t>TRỢ LÍ QUẢN LÍ SINH VIÊN</t>
  </si>
  <si>
    <t>HỌC KỲ I NĂM HỌC 2025 - 2026</t>
  </si>
  <si>
    <t>66K3</t>
  </si>
  <si>
    <t>MB</t>
  </si>
  <si>
    <t>25480200110243</t>
  </si>
  <si>
    <t>Lô Vũ Phong</t>
  </si>
  <si>
    <t>040207037827</t>
  </si>
  <si>
    <t>0975472658</t>
  </si>
  <si>
    <t>1058745658</t>
  </si>
  <si>
    <t>Vietcombank</t>
  </si>
  <si>
    <t>Vi Quốc Linh</t>
  </si>
  <si>
    <t>66K2</t>
  </si>
  <si>
    <t>040207001226</t>
  </si>
  <si>
    <t>0332336207</t>
  </si>
  <si>
    <t>8851521063</t>
  </si>
  <si>
    <t>Kha Văn Thượng</t>
  </si>
  <si>
    <t>0393441267</t>
  </si>
  <si>
    <t>Quang Duy Thái</t>
  </si>
  <si>
    <t>040207016231</t>
  </si>
  <si>
    <t>0339695734</t>
  </si>
  <si>
    <t>8100820079999</t>
  </si>
  <si>
    <t>Nghệ An, ngày  24 tháng  3 năm 2025</t>
  </si>
  <si>
    <t>66K</t>
  </si>
  <si>
    <t>Công nghệ thông tin (AI)</t>
  </si>
  <si>
    <t>040206013776</t>
  </si>
  <si>
    <t>0813414065</t>
  </si>
  <si>
    <t>8853806006</t>
  </si>
  <si>
    <r>
      <t xml:space="preserve">DANH SÁCH </t>
    </r>
    <r>
      <rPr>
        <b/>
        <sz val="13"/>
        <color rgb="FFFF0000"/>
        <rFont val="Times New Roman"/>
        <family val="1"/>
      </rPr>
      <t>ĐỀ NGHỊ</t>
    </r>
    <r>
      <rPr>
        <b/>
        <sz val="13"/>
        <color theme="1"/>
        <rFont val="Times New Roman"/>
        <family val="1"/>
      </rPr>
      <t xml:space="preserve">  SINH VIÊN HỆ CHÍNH QUY HƯỞNG HỖ TRỢ CHI PHÍ HỌC TẬP</t>
    </r>
  </si>
  <si>
    <t>(Kèm theo Quyết định số                /QĐ-ĐHV ngày          tháng         năm 2024 của Hiệu trưởng Trường Đại học Vinh)</t>
  </si>
  <si>
    <t>STT</t>
  </si>
  <si>
    <t>Mã sinh viên</t>
  </si>
  <si>
    <t>Trường, khoa, viện</t>
  </si>
  <si>
    <t>Đối tượng</t>
  </si>
  <si>
    <t>Dân tộc</t>
  </si>
  <si>
    <t>Số tiền (đ/tháng)</t>
  </si>
  <si>
    <t>Số tiền (đ/kỳ)</t>
  </si>
  <si>
    <t>Số CMND</t>
  </si>
  <si>
    <t>Số 
điện thoại</t>
  </si>
  <si>
    <t>Số 
tài khoản</t>
  </si>
  <si>
    <t>Thuộc
 ngân hàng</t>
  </si>
  <si>
    <t>HN</t>
  </si>
  <si>
    <t>5</t>
  </si>
  <si>
    <t>Vietinbank</t>
  </si>
  <si>
    <t>104877358784</t>
  </si>
  <si>
    <t>HCN</t>
  </si>
  <si>
    <t>SEABANK</t>
  </si>
  <si>
    <t>Bs mới</t>
  </si>
  <si>
    <t>VIỆN TRƯỞNG</t>
  </si>
  <si>
    <t>TRỢ LÍ QUẢN LÍ HSSV</t>
  </si>
  <si>
    <t>TS.Đặng Thái Sơn</t>
  </si>
  <si>
    <t>Đặng Thị Bích Hạnh</t>
  </si>
  <si>
    <t>Hoàng Cẩm Nhung</t>
  </si>
  <si>
    <t>040206013199</t>
  </si>
  <si>
    <t>Danh sách ấn định 11 sinh viên</t>
  </si>
  <si>
    <t xml:space="preserve">DANH SÁCH ĐỀ NGHỊ SINH VIÊN HỆ CHÍNH QUY HƯỞNG  TRỢ CẤP </t>
  </si>
  <si>
    <t>(Kèm theo Quyết định số                /QĐ-ĐHV ngày          tháng       năm 2024 của Hiệu trưởng Trường Đại học Vinh)</t>
  </si>
  <si>
    <t>Số 
Tài khoản</t>
  </si>
  <si>
    <t>Thuộc ngân hàng</t>
  </si>
  <si>
    <t>SV tàn tật</t>
  </si>
  <si>
    <t>62K2 Công nghệ thông tin</t>
  </si>
  <si>
    <t xml:space="preserve">Vietinbank </t>
  </si>
  <si>
    <t>21574800110035</t>
  </si>
  <si>
    <t>62K1 Công nghệ thông tin</t>
  </si>
  <si>
    <t>105875591157</t>
  </si>
  <si>
    <t>Viettinbank</t>
  </si>
  <si>
    <t>63K Khoa học máy tính</t>
  </si>
  <si>
    <t>DTTS, VĐBKK</t>
  </si>
  <si>
    <t>64K4 Công nghệ thông tin</t>
  </si>
  <si>
    <t>042204003359</t>
  </si>
  <si>
    <t>64K5 Công nghệ thông tin</t>
  </si>
  <si>
    <t>0375663039</t>
  </si>
  <si>
    <t>64K Khoa học máy tính</t>
  </si>
  <si>
    <t>65K1 - Công Nghệ thông tin</t>
  </si>
  <si>
    <t>65K2 - Công nghệ thông tin</t>
  </si>
  <si>
    <t>65K3 - Công nghệ thông tin</t>
  </si>
  <si>
    <t>Viện Trưởng</t>
  </si>
  <si>
    <t>Trợ lý QLSV</t>
  </si>
  <si>
    <t>255748010110010</t>
  </si>
  <si>
    <t>Ngô Trí Nhuận</t>
  </si>
  <si>
    <t>66K Khoa học máy tính</t>
  </si>
  <si>
    <t>040207023734</t>
  </si>
  <si>
    <t>0587800887</t>
  </si>
  <si>
    <t>8816297780</t>
  </si>
  <si>
    <t xml:space="preserve"> Khoa học máy tính</t>
  </si>
  <si>
    <r>
      <t>DANH SÁCH</t>
    </r>
    <r>
      <rPr>
        <b/>
        <sz val="13"/>
        <color rgb="FFFF0000"/>
        <rFont val="Times New Roman"/>
        <family val="1"/>
      </rPr>
      <t xml:space="preserve"> BỔ SUNG </t>
    </r>
    <r>
      <rPr>
        <b/>
        <sz val="13"/>
        <color theme="1"/>
        <rFont val="Times New Roman"/>
        <family val="1"/>
      </rPr>
      <t xml:space="preserve"> SINH VIÊN HỆ CHÍNH QUY HƯỞNG HỖ TRỢ CHI PHÍ HỌC TẬP</t>
    </r>
  </si>
  <si>
    <r>
      <t xml:space="preserve">DANH SÁCH </t>
    </r>
    <r>
      <rPr>
        <b/>
        <sz val="15"/>
        <color rgb="FFFF0000"/>
        <rFont val="Times New Roman"/>
        <family val="1"/>
      </rPr>
      <t>BỔ SUNG</t>
    </r>
    <r>
      <rPr>
        <b/>
        <sz val="15"/>
        <color theme="1"/>
        <rFont val="Times New Roman"/>
        <family val="1"/>
      </rPr>
      <t xml:space="preserve"> SINH VIÊN HỆ CHÍNH QUY HƯỞNG  TRỢ CẤP </t>
    </r>
  </si>
  <si>
    <t>255748010110008</t>
  </si>
  <si>
    <t>Lê Thành Công</t>
  </si>
  <si>
    <t>Con TB</t>
  </si>
  <si>
    <t>040207000341</t>
  </si>
  <si>
    <t>09422826499</t>
  </si>
  <si>
    <t>3942826499</t>
  </si>
  <si>
    <t>66K3 Công nghệ thông tin</t>
  </si>
  <si>
    <t>Danh sách ấn định 02 sinh viên</t>
  </si>
  <si>
    <t>HỌC KỲ I, NĂM HỌC 2025 - 2026</t>
  </si>
  <si>
    <t>Kha Văn Thương</t>
  </si>
  <si>
    <t>255748020110126</t>
  </si>
  <si>
    <t>255748020110243</t>
  </si>
  <si>
    <t>255748020110142</t>
  </si>
  <si>
    <t>255748020110113</t>
  </si>
  <si>
    <t>255748020110273</t>
  </si>
  <si>
    <t>255748010110019</t>
  </si>
  <si>
    <t>Vi Quang Vinh</t>
  </si>
  <si>
    <t>040207021566</t>
  </si>
  <si>
    <t>'0355443107</t>
  </si>
  <si>
    <t>8854337428</t>
  </si>
  <si>
    <t>Danh sách ấn định 04 sinh viên</t>
  </si>
  <si>
    <t>8874806044</t>
  </si>
  <si>
    <t>Quang Lê Duẩn</t>
  </si>
  <si>
    <t>Ấn định danh sách hồ sơ bổ sung học kỳ I năm học 2025-2026 gồm có 10  sinh viên.</t>
  </si>
  <si>
    <t>Ấn định danh sách hồ sơ bổ sung học kỳ I năm học 2025-2026 gồm có 62 sinh viên.</t>
  </si>
  <si>
    <t>Sv mất nguồn nuôi dưỡng</t>
  </si>
  <si>
    <t>SV mất nguồn nuôi dưỡng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</si>
</sst>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00000000"/>
    <numFmt numFmtId="166" formatCode="_-* #,##0_-;\-* #,##0_-;_-* &quot;-&quot;??_-;_-@_-"/>
    <numFmt numFmtId="167" formatCode="_(* #,##0_);_(* \(#,##0\);_(* &quot;-&quot;??_);_(@_)"/>
  </numFmts>
  <fonts count="45" x14ac:knownFonts="1">
    <font>
      <sz val="12"/>
      <color rgb="FF000000"/>
      <name val="Times New Roman"/>
      <family val="1"/>
    </font>
    <font>
      <sz val="12"/>
      <color rgb="FF000000"/>
      <name val="Times New Roman"/>
      <family val="1"/>
    </font>
    <font>
      <sz val="18"/>
      <color theme="1"/>
      <name val="Times New Roman"/>
      <family val="1"/>
    </font>
    <font>
      <b/>
      <sz val="18"/>
      <color theme="1"/>
      <name val="Times New Roman"/>
      <family val="1"/>
    </font>
    <font>
      <sz val="14"/>
      <color theme="1"/>
      <name val="Times New Roman"/>
      <family val="1"/>
    </font>
    <font>
      <b/>
      <u/>
      <sz val="18"/>
      <color theme="1"/>
      <name val="Times New Roman"/>
      <family val="1"/>
    </font>
    <font>
      <i/>
      <sz val="14"/>
      <color theme="1"/>
      <name val="Times New Roman"/>
      <family val="1"/>
    </font>
    <font>
      <b/>
      <sz val="14"/>
      <color theme="1"/>
      <name val="Times New Roman"/>
      <family val="1"/>
    </font>
    <font>
      <b/>
      <sz val="14"/>
      <color rgb="FFFF0000"/>
      <name val="Times New Roman"/>
      <family val="1"/>
    </font>
    <font>
      <sz val="14"/>
      <name val="Times New Roman"/>
      <family val="1"/>
    </font>
    <font>
      <sz val="10"/>
      <color rgb="FF000000"/>
      <name val="Arial"/>
      <family val="2"/>
    </font>
    <font>
      <sz val="11"/>
      <color theme="1"/>
      <name val="Aptos Narrow"/>
      <family val="2"/>
      <scheme val="minor"/>
    </font>
    <font>
      <b/>
      <i/>
      <sz val="18"/>
      <color theme="1"/>
      <name val="Times New Roman"/>
      <family val="1"/>
    </font>
    <font>
      <sz val="16"/>
      <color theme="1"/>
      <name val="Times New Roman"/>
      <family val="1"/>
    </font>
    <font>
      <sz val="20"/>
      <color theme="1"/>
      <name val="Times New Roman"/>
      <family val="1"/>
    </font>
    <font>
      <b/>
      <sz val="20"/>
      <color theme="1"/>
      <name val="Times New Roman"/>
      <family val="1"/>
    </font>
    <font>
      <b/>
      <u/>
      <sz val="20"/>
      <color rgb="FFFF0000"/>
      <name val="Times New Roman"/>
      <family val="1"/>
    </font>
    <font>
      <sz val="22"/>
      <color theme="1"/>
      <name val="Times New Roman"/>
      <family val="1"/>
    </font>
    <font>
      <i/>
      <sz val="22"/>
      <color theme="1"/>
      <name val="Times New Roman"/>
      <family val="1"/>
    </font>
    <font>
      <b/>
      <sz val="22"/>
      <color theme="1"/>
      <name val="Times New Roman"/>
      <family val="1"/>
    </font>
    <font>
      <b/>
      <sz val="13"/>
      <color rgb="FF000000"/>
      <name val="Times New Roman"/>
      <family val="1"/>
    </font>
    <font>
      <sz val="13"/>
      <color rgb="FF000000"/>
      <name val="Times New Roman"/>
      <family val="1"/>
    </font>
    <font>
      <sz val="14"/>
      <color rgb="FFFF0000"/>
      <name val="Times New Roman"/>
      <family val="1"/>
    </font>
    <font>
      <sz val="15"/>
      <color rgb="FFFF0000"/>
      <name val="Times New Roman"/>
      <family val="1"/>
    </font>
    <font>
      <sz val="8"/>
      <name val="Times New Roman"/>
      <family val="1"/>
    </font>
    <font>
      <sz val="15"/>
      <color theme="1"/>
      <name val="Times New Roman"/>
      <family val="1"/>
    </font>
    <font>
      <sz val="12"/>
      <color rgb="FFFF0000"/>
      <name val="Times New Roman"/>
      <family val="1"/>
    </font>
    <font>
      <sz val="13"/>
      <color rgb="FFFF0000"/>
      <name val="Times New Roman"/>
      <family val="1"/>
    </font>
    <font>
      <sz val="13"/>
      <color theme="1"/>
      <name val="Times New Roman"/>
      <family val="1"/>
    </font>
    <font>
      <b/>
      <sz val="13"/>
      <color theme="1"/>
      <name val="Times New Roman"/>
      <family val="1"/>
    </font>
    <font>
      <b/>
      <sz val="13"/>
      <color rgb="FFFF0000"/>
      <name val="Times New Roman"/>
      <family val="1"/>
    </font>
    <font>
      <i/>
      <sz val="13"/>
      <color theme="1"/>
      <name val="Times New Roman"/>
      <family val="1"/>
    </font>
    <font>
      <sz val="13"/>
      <name val="Times New Roman"/>
      <family val="1"/>
    </font>
    <font>
      <sz val="13"/>
      <color indexed="8"/>
      <name val="Times New Roman"/>
      <family val="1"/>
    </font>
    <font>
      <b/>
      <i/>
      <sz val="13"/>
      <color theme="1"/>
      <name val="Times New Roman"/>
      <family val="1"/>
    </font>
    <font>
      <u/>
      <sz val="12"/>
      <color theme="10"/>
      <name val="Times New Roman"/>
      <family val="1"/>
    </font>
    <font>
      <b/>
      <sz val="12"/>
      <color theme="1"/>
      <name val="Times New Roman"/>
      <family val="1"/>
    </font>
    <font>
      <sz val="12"/>
      <color theme="1"/>
      <name val="Times New Roman"/>
      <family val="1"/>
    </font>
    <font>
      <b/>
      <sz val="18"/>
      <color rgb="FFFF0000"/>
      <name val="Times New Roman"/>
      <family val="1"/>
    </font>
    <font>
      <b/>
      <sz val="15"/>
      <color theme="1"/>
      <name val="Times New Roman"/>
      <family val="1"/>
    </font>
    <font>
      <sz val="14"/>
      <color indexed="8"/>
      <name val="Times New Roman"/>
      <family val="1"/>
    </font>
    <font>
      <sz val="14"/>
      <color rgb="FF000000"/>
      <name val="Times New Roman"/>
      <family val="1"/>
    </font>
    <font>
      <b/>
      <sz val="15"/>
      <color rgb="FFFF0000"/>
      <name val="Times New Roman"/>
      <family val="1"/>
    </font>
    <font>
      <b/>
      <i/>
      <sz val="14"/>
      <color theme="1"/>
      <name val="Times New Roman"/>
      <family val="1"/>
    </font>
    <font>
      <b/>
      <sz val="12"/>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diagonal/>
    </border>
  </borders>
  <cellStyleXfs count="5">
    <xf numFmtId="0" fontId="0" fillId="0" borderId="0"/>
    <xf numFmtId="164" fontId="1" fillId="0" borderId="0" applyFont="0" applyFill="0" applyBorder="0" applyAlignment="0" applyProtection="0"/>
    <xf numFmtId="0" fontId="10" fillId="0" borderId="0"/>
    <xf numFmtId="0" fontId="11" fillId="0" borderId="0"/>
    <xf numFmtId="0" fontId="35" fillId="0" borderId="0" applyNumberFormat="0" applyFill="0" applyBorder="0" applyAlignment="0" applyProtection="0"/>
  </cellStyleXfs>
  <cellXfs count="236">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shrinkToFit="1"/>
    </xf>
    <xf numFmtId="0" fontId="4" fillId="0" borderId="0" xfId="0" applyFont="1" applyAlignment="1">
      <alignment horizontal="center" vertical="center"/>
    </xf>
    <xf numFmtId="0" fontId="3" fillId="0" borderId="0" xfId="0" quotePrefix="1" applyFont="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7" fillId="0" borderId="0" xfId="0" applyFont="1" applyAlignment="1">
      <alignment horizontal="center" vertical="center"/>
    </xf>
    <xf numFmtId="0" fontId="9" fillId="0" borderId="0" xfId="0" applyFont="1" applyAlignment="1">
      <alignment horizontal="center" vertical="center"/>
    </xf>
    <xf numFmtId="3" fontId="7" fillId="0" borderId="1" xfId="0" applyNumberFormat="1" applyFont="1" applyBorder="1" applyAlignment="1">
      <alignment horizontal="center" vertical="center" shrinkToFit="1"/>
    </xf>
    <xf numFmtId="0" fontId="7" fillId="0" borderId="1" xfId="0" applyFont="1" applyBorder="1" applyAlignment="1">
      <alignment horizontal="center" vertical="center" shrinkToFit="1"/>
    </xf>
    <xf numFmtId="0" fontId="12" fillId="0" borderId="0" xfId="0" applyFont="1" applyAlignment="1">
      <alignment horizontal="left" vertical="center"/>
    </xf>
    <xf numFmtId="0" fontId="2" fillId="0" borderId="0" xfId="0" applyFont="1" applyAlignment="1">
      <alignment horizontal="center" vertical="center" shrinkToFit="1"/>
    </xf>
    <xf numFmtId="0" fontId="13" fillId="0" borderId="0" xfId="0" applyFont="1" applyAlignment="1">
      <alignment horizontal="center" vertical="center"/>
    </xf>
    <xf numFmtId="0" fontId="13" fillId="0" borderId="0" xfId="0" applyFont="1" applyAlignment="1">
      <alignment horizontal="center" vertical="center" shrinkToFit="1"/>
    </xf>
    <xf numFmtId="0" fontId="14" fillId="0" borderId="0" xfId="0" applyFont="1" applyAlignment="1">
      <alignment horizontal="center" vertical="center"/>
    </xf>
    <xf numFmtId="0" fontId="4" fillId="0" borderId="0" xfId="0" applyFont="1" applyAlignment="1">
      <alignment horizontal="center" vertical="center" shrinkToFit="1"/>
    </xf>
    <xf numFmtId="0" fontId="6" fillId="0" borderId="0" xfId="0" applyFont="1" applyAlignment="1">
      <alignment horizontal="center" vertical="center"/>
    </xf>
    <xf numFmtId="0" fontId="9" fillId="0" borderId="1" xfId="0" applyFont="1" applyBorder="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vertical="center" shrinkToFit="1"/>
    </xf>
    <xf numFmtId="0" fontId="19" fillId="0" borderId="0" xfId="0" applyFont="1" applyAlignment="1">
      <alignment horizontal="center" vertical="center"/>
    </xf>
    <xf numFmtId="0" fontId="19" fillId="0" borderId="0" xfId="0" applyFont="1" applyAlignment="1">
      <alignment horizontal="center" vertical="center" shrinkToFit="1"/>
    </xf>
    <xf numFmtId="0" fontId="19" fillId="0" borderId="0" xfId="0" applyFont="1" applyAlignment="1">
      <alignment vertical="center"/>
    </xf>
    <xf numFmtId="0" fontId="18" fillId="0" borderId="0" xfId="0" applyFont="1" applyAlignment="1">
      <alignment vertical="center"/>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1" xfId="0" applyFont="1" applyBorder="1" applyAlignment="1">
      <alignment horizontal="justify" vertical="center" wrapText="1"/>
    </xf>
    <xf numFmtId="3" fontId="21"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22" fillId="0" borderId="1" xfId="0" applyFont="1" applyBorder="1" applyAlignment="1">
      <alignment horizontal="center" vertical="center" wrapText="1" shrinkToFit="1"/>
    </xf>
    <xf numFmtId="0" fontId="23" fillId="0" borderId="1" xfId="0" applyFont="1" applyBorder="1" applyAlignment="1">
      <alignment horizontal="center" vertical="center" shrinkToFit="1"/>
    </xf>
    <xf numFmtId="3" fontId="23" fillId="0" borderId="1" xfId="1" applyNumberFormat="1" applyFont="1" applyFill="1" applyBorder="1" applyAlignment="1">
      <alignment horizontal="center" vertical="center" shrinkToFit="1"/>
    </xf>
    <xf numFmtId="0" fontId="22" fillId="0" borderId="0" xfId="0" applyFont="1" applyAlignment="1">
      <alignment horizontal="center" vertical="center"/>
    </xf>
    <xf numFmtId="0" fontId="22" fillId="0" borderId="1" xfId="0" quotePrefix="1" applyFont="1" applyBorder="1" applyAlignment="1">
      <alignment horizontal="center" vertical="center" wrapText="1" shrinkToFit="1"/>
    </xf>
    <xf numFmtId="0" fontId="22" fillId="0" borderId="1" xfId="0" applyFont="1" applyBorder="1" applyAlignment="1">
      <alignment horizontal="center" vertical="center"/>
    </xf>
    <xf numFmtId="0" fontId="18" fillId="0" borderId="0" xfId="0" applyFont="1" applyAlignment="1">
      <alignment horizontal="center" vertical="center"/>
    </xf>
    <xf numFmtId="0" fontId="4" fillId="0" borderId="0" xfId="0" applyFont="1" applyAlignment="1">
      <alignment vertical="center"/>
    </xf>
    <xf numFmtId="0" fontId="7" fillId="0" borderId="0" xfId="0" applyFont="1" applyAlignment="1">
      <alignment vertical="center"/>
    </xf>
    <xf numFmtId="0" fontId="0" fillId="0" borderId="0" xfId="0" applyAlignment="1">
      <alignment vertical="center"/>
    </xf>
    <xf numFmtId="0" fontId="27" fillId="0" borderId="1" xfId="0" applyFont="1" applyBorder="1" applyAlignment="1">
      <alignment horizontal="center" vertical="center"/>
    </xf>
    <xf numFmtId="0" fontId="4" fillId="0" borderId="1" xfId="0" quotePrefix="1" applyFont="1" applyBorder="1" applyAlignment="1">
      <alignment horizontal="center" vertical="center"/>
    </xf>
    <xf numFmtId="0" fontId="28" fillId="0" borderId="0" xfId="0" applyFont="1" applyAlignment="1">
      <alignment horizontal="center" vertical="center"/>
    </xf>
    <xf numFmtId="0" fontId="29" fillId="0" borderId="0" xfId="0" applyFont="1" applyAlignment="1">
      <alignment horizontal="left" vertical="center" shrinkToFit="1"/>
    </xf>
    <xf numFmtId="0" fontId="29" fillId="0" borderId="0" xfId="0" applyFont="1" applyAlignment="1">
      <alignment horizontal="center" vertical="center" shrinkToFit="1"/>
    </xf>
    <xf numFmtId="0" fontId="27" fillId="0" borderId="0" xfId="0" applyFont="1" applyAlignment="1">
      <alignment horizontal="center"/>
    </xf>
    <xf numFmtId="0" fontId="29" fillId="0" borderId="0" xfId="0" applyFont="1" applyAlignment="1">
      <alignment horizontal="center" vertical="center"/>
    </xf>
    <xf numFmtId="0" fontId="29" fillId="0" borderId="0" xfId="0" applyFont="1" applyAlignment="1">
      <alignment horizontal="center" vertical="center" wrapText="1"/>
    </xf>
    <xf numFmtId="167" fontId="29" fillId="0" borderId="0" xfId="1" applyNumberFormat="1" applyFont="1" applyFill="1" applyAlignment="1">
      <alignment horizontal="center" vertical="center" shrinkToFit="1"/>
    </xf>
    <xf numFmtId="0" fontId="27" fillId="0" borderId="0" xfId="0" applyFont="1" applyAlignment="1">
      <alignment horizontal="center" vertical="center" shrinkToFit="1"/>
    </xf>
    <xf numFmtId="0" fontId="28" fillId="0" borderId="0" xfId="0" applyFont="1" applyAlignment="1">
      <alignment horizontal="center" vertical="center" shrinkToFit="1"/>
    </xf>
    <xf numFmtId="0" fontId="28" fillId="0" borderId="0" xfId="0" applyFont="1" applyAlignment="1">
      <alignment horizontal="left" vertical="center" shrinkToFit="1"/>
    </xf>
    <xf numFmtId="167" fontId="28" fillId="0" borderId="0" xfId="1" applyNumberFormat="1" applyFont="1" applyFill="1" applyAlignment="1">
      <alignment horizontal="center" vertical="center" shrinkToFit="1"/>
    </xf>
    <xf numFmtId="0" fontId="29" fillId="0" borderId="1" xfId="0" applyFont="1" applyBorder="1" applyAlignment="1">
      <alignment horizontal="center" vertical="center" wrapText="1" shrinkToFit="1"/>
    </xf>
    <xf numFmtId="167" fontId="29" fillId="0" borderId="1" xfId="1" applyNumberFormat="1" applyFont="1" applyFill="1" applyBorder="1" applyAlignment="1">
      <alignment horizontal="center" vertical="center" wrapText="1" shrinkToFit="1"/>
    </xf>
    <xf numFmtId="49" fontId="29" fillId="0" borderId="1" xfId="0" applyNumberFormat="1" applyFont="1" applyBorder="1" applyAlignment="1">
      <alignment horizontal="center" vertical="center" wrapText="1" shrinkToFit="1"/>
    </xf>
    <xf numFmtId="0" fontId="28" fillId="0" borderId="1" xfId="0" applyFont="1" applyBorder="1" applyAlignment="1">
      <alignment horizontal="center" vertical="center" shrinkToFit="1"/>
    </xf>
    <xf numFmtId="1" fontId="21" fillId="0" borderId="1" xfId="0" applyNumberFormat="1" applyFont="1" applyBorder="1" applyAlignment="1">
      <alignment horizontal="center" vertical="center"/>
    </xf>
    <xf numFmtId="0" fontId="21" fillId="0" borderId="1" xfId="0" applyFont="1" applyBorder="1" applyAlignment="1">
      <alignment horizontal="center" vertical="center"/>
    </xf>
    <xf numFmtId="3" fontId="28" fillId="0" borderId="1" xfId="0" applyNumberFormat="1" applyFont="1" applyBorder="1" applyAlignment="1">
      <alignment horizontal="center" vertical="center" shrinkToFit="1"/>
    </xf>
    <xf numFmtId="49" fontId="28" fillId="0" borderId="1" xfId="0" applyNumberFormat="1" applyFont="1" applyBorder="1" applyAlignment="1">
      <alignment horizontal="center" vertical="center" shrinkToFit="1"/>
    </xf>
    <xf numFmtId="0" fontId="28" fillId="0" borderId="1" xfId="0" quotePrefix="1" applyFont="1" applyBorder="1" applyAlignment="1">
      <alignment horizontal="center" vertical="center" shrinkToFit="1"/>
    </xf>
    <xf numFmtId="0" fontId="28" fillId="0" borderId="1" xfId="0" applyFont="1" applyBorder="1" applyAlignment="1">
      <alignment horizontal="center" vertical="center" wrapText="1"/>
    </xf>
    <xf numFmtId="1" fontId="21" fillId="3" borderId="1" xfId="0" applyNumberFormat="1" applyFont="1" applyFill="1" applyBorder="1" applyAlignment="1">
      <alignment horizontal="center" vertical="center"/>
    </xf>
    <xf numFmtId="165" fontId="28" fillId="0" borderId="1" xfId="0" quotePrefix="1" applyNumberFormat="1" applyFont="1" applyBorder="1" applyAlignment="1">
      <alignment horizontal="center" vertical="center" shrinkToFit="1"/>
    </xf>
    <xf numFmtId="0" fontId="21" fillId="3" borderId="1" xfId="0" applyFont="1" applyFill="1" applyBorder="1" applyAlignment="1">
      <alignment horizontal="center" vertical="center"/>
    </xf>
    <xf numFmtId="49" fontId="28" fillId="2" borderId="1" xfId="0" applyNumberFormat="1" applyFont="1" applyFill="1" applyBorder="1" applyAlignment="1">
      <alignment horizontal="center" vertical="center" shrinkToFit="1"/>
    </xf>
    <xf numFmtId="3" fontId="28" fillId="2" borderId="1" xfId="0" applyNumberFormat="1" applyFont="1" applyFill="1" applyBorder="1" applyAlignment="1">
      <alignment horizontal="center" vertical="center" shrinkToFit="1"/>
    </xf>
    <xf numFmtId="0" fontId="28" fillId="2" borderId="1" xfId="0" quotePrefix="1" applyFont="1" applyFill="1" applyBorder="1" applyAlignment="1">
      <alignment horizontal="center" vertical="center" shrinkToFit="1"/>
    </xf>
    <xf numFmtId="1" fontId="28" fillId="2" borderId="1" xfId="0" applyNumberFormat="1" applyFont="1" applyFill="1" applyBorder="1" applyAlignment="1">
      <alignment horizontal="center" vertical="center" wrapText="1"/>
    </xf>
    <xf numFmtId="0" fontId="28" fillId="2" borderId="1" xfId="0" applyFont="1" applyFill="1" applyBorder="1" applyAlignment="1">
      <alignment horizontal="center" vertical="center" shrinkToFit="1"/>
    </xf>
    <xf numFmtId="0" fontId="28" fillId="0" borderId="1" xfId="0" quotePrefix="1" applyFont="1" applyBorder="1" applyAlignment="1">
      <alignment horizontal="center" vertical="center"/>
    </xf>
    <xf numFmtId="0" fontId="28" fillId="0" borderId="1" xfId="0" applyFont="1" applyBorder="1" applyAlignment="1">
      <alignment horizontal="center" vertical="center"/>
    </xf>
    <xf numFmtId="1" fontId="32" fillId="2" borderId="1" xfId="0" quotePrefix="1" applyNumberFormat="1" applyFont="1" applyFill="1" applyBorder="1" applyAlignment="1">
      <alignment horizontal="center" vertical="center" shrinkToFit="1"/>
    </xf>
    <xf numFmtId="0" fontId="32" fillId="0" borderId="1" xfId="0" applyFont="1" applyBorder="1" applyAlignment="1">
      <alignment horizontal="center" vertical="center"/>
    </xf>
    <xf numFmtId="0" fontId="33" fillId="0" borderId="1" xfId="0" applyFont="1" applyBorder="1" applyAlignment="1">
      <alignment horizontal="center" vertical="center"/>
    </xf>
    <xf numFmtId="0" fontId="32" fillId="0" borderId="1" xfId="0" quotePrefix="1" applyFont="1" applyBorder="1" applyAlignment="1">
      <alignment horizontal="center" vertical="center"/>
    </xf>
    <xf numFmtId="0" fontId="30" fillId="0" borderId="1" xfId="0" applyFont="1" applyBorder="1" applyAlignment="1">
      <alignment horizontal="center" vertical="center"/>
    </xf>
    <xf numFmtId="49" fontId="32" fillId="2" borderId="1" xfId="0" applyNumberFormat="1" applyFont="1" applyFill="1" applyBorder="1" applyAlignment="1">
      <alignment horizontal="center" vertical="center"/>
    </xf>
    <xf numFmtId="1" fontId="32" fillId="0" borderId="1" xfId="0" applyNumberFormat="1" applyFont="1" applyBorder="1" applyAlignment="1">
      <alignment horizontal="center" vertical="center"/>
    </xf>
    <xf numFmtId="0" fontId="21" fillId="0" borderId="1" xfId="0" quotePrefix="1" applyFont="1" applyBorder="1" applyAlignment="1">
      <alignment horizontal="center" vertical="center"/>
    </xf>
    <xf numFmtId="0" fontId="29" fillId="0" borderId="1" xfId="0" applyFont="1" applyBorder="1" applyAlignment="1">
      <alignment horizontal="center" vertical="center" shrinkToFit="1"/>
    </xf>
    <xf numFmtId="0" fontId="33" fillId="0" borderId="1" xfId="0" quotePrefix="1" applyFont="1" applyBorder="1" applyAlignment="1">
      <alignment horizontal="center" vertical="center"/>
    </xf>
    <xf numFmtId="0" fontId="34" fillId="0" borderId="0" xfId="0" applyFont="1" applyAlignment="1">
      <alignment horizontal="center" vertical="center"/>
    </xf>
    <xf numFmtId="0" fontId="29" fillId="0" borderId="0" xfId="0" applyFont="1" applyAlignment="1">
      <alignment vertical="center"/>
    </xf>
    <xf numFmtId="167" fontId="29" fillId="0" borderId="0" xfId="1" applyNumberFormat="1" applyFont="1" applyFill="1" applyAlignment="1">
      <alignment vertical="center"/>
    </xf>
    <xf numFmtId="167" fontId="29" fillId="0" borderId="0" xfId="1" applyNumberFormat="1" applyFont="1" applyFill="1" applyAlignment="1">
      <alignment horizontal="center" vertical="center"/>
    </xf>
    <xf numFmtId="3" fontId="29" fillId="0" borderId="1" xfId="0" applyNumberFormat="1" applyFont="1" applyBorder="1" applyAlignment="1">
      <alignment horizontal="center" vertical="center" shrinkToFit="1"/>
    </xf>
    <xf numFmtId="0" fontId="27" fillId="0" borderId="1" xfId="0" applyFont="1" applyBorder="1" applyAlignment="1">
      <alignment horizontal="center" vertical="center" shrinkToFit="1"/>
    </xf>
    <xf numFmtId="0" fontId="30" fillId="0" borderId="1" xfId="0" applyFont="1" applyBorder="1" applyAlignment="1">
      <alignment horizontal="center" vertical="center" shrinkToFit="1"/>
    </xf>
    <xf numFmtId="3" fontId="27" fillId="0" borderId="1" xfId="0" applyNumberFormat="1" applyFont="1" applyBorder="1" applyAlignment="1">
      <alignment horizontal="center" vertical="center" shrinkToFit="1"/>
    </xf>
    <xf numFmtId="49" fontId="27" fillId="0" borderId="1" xfId="0" applyNumberFormat="1" applyFont="1" applyBorder="1" applyAlignment="1">
      <alignment horizontal="center" vertical="center" shrinkToFit="1"/>
    </xf>
    <xf numFmtId="0" fontId="22" fillId="0" borderId="1" xfId="0" quotePrefix="1" applyFont="1" applyBorder="1" applyAlignment="1">
      <alignment horizontal="center" vertical="center"/>
    </xf>
    <xf numFmtId="0" fontId="3" fillId="0" borderId="0" xfId="0" applyFont="1" applyAlignment="1">
      <alignment horizontal="left" vertical="center" shrinkToFit="1"/>
    </xf>
    <xf numFmtId="0" fontId="36" fillId="0" borderId="0" xfId="0" applyFont="1" applyAlignment="1">
      <alignment horizontal="left" vertical="center" shrinkToFit="1"/>
    </xf>
    <xf numFmtId="0" fontId="26" fillId="0" borderId="0" xfId="0" applyFont="1" applyAlignment="1">
      <alignment horizontal="center"/>
    </xf>
    <xf numFmtId="0" fontId="37" fillId="0" borderId="0" xfId="0" applyFont="1"/>
    <xf numFmtId="0" fontId="3" fillId="0" borderId="0" xfId="0" applyFont="1" applyAlignment="1">
      <alignment horizontal="left" vertical="center"/>
    </xf>
    <xf numFmtId="0" fontId="29" fillId="0" borderId="0" xfId="0" applyFont="1" applyAlignment="1">
      <alignment horizontal="left" vertical="center"/>
    </xf>
    <xf numFmtId="0" fontId="3" fillId="0" borderId="0" xfId="0" applyFont="1" applyAlignment="1">
      <alignment horizontal="center" vertical="center" wrapText="1"/>
    </xf>
    <xf numFmtId="167" fontId="3" fillId="0" borderId="0" xfId="1" applyNumberFormat="1" applyFont="1" applyFill="1" applyAlignment="1">
      <alignment horizontal="center" vertical="center" shrinkToFit="1"/>
    </xf>
    <xf numFmtId="167" fontId="3" fillId="0" borderId="0" xfId="1" applyNumberFormat="1" applyFont="1" applyFill="1" applyAlignment="1">
      <alignment vertical="center" shrinkToFit="1"/>
    </xf>
    <xf numFmtId="0" fontId="38" fillId="0" borderId="0" xfId="0" applyFont="1" applyAlignment="1">
      <alignment horizontal="center" vertical="center"/>
    </xf>
    <xf numFmtId="0" fontId="39" fillId="0" borderId="0" xfId="0" applyFont="1" applyAlignment="1">
      <alignment horizontal="center" vertical="center"/>
    </xf>
    <xf numFmtId="0" fontId="39" fillId="0" borderId="0" xfId="0" applyFont="1" applyAlignment="1">
      <alignment horizontal="left" vertical="center"/>
    </xf>
    <xf numFmtId="0" fontId="29" fillId="0" borderId="0" xfId="0" applyFont="1" applyAlignment="1">
      <alignment horizontal="center"/>
    </xf>
    <xf numFmtId="0" fontId="28" fillId="0" borderId="0" xfId="0" applyFont="1" applyAlignment="1">
      <alignment horizontal="left" vertical="center"/>
    </xf>
    <xf numFmtId="0" fontId="27" fillId="0" borderId="0" xfId="0" applyFont="1" applyAlignment="1">
      <alignment horizontal="center" vertical="center"/>
    </xf>
    <xf numFmtId="0" fontId="28" fillId="0" borderId="0" xfId="0" applyFont="1"/>
    <xf numFmtId="0" fontId="29" fillId="0" borderId="1" xfId="0" applyFont="1" applyBorder="1" applyAlignment="1">
      <alignment horizontal="center" vertical="center" wrapText="1"/>
    </xf>
    <xf numFmtId="0" fontId="29" fillId="0" borderId="1" xfId="0" applyFont="1" applyBorder="1" applyAlignment="1">
      <alignment horizontal="left" vertical="center" wrapText="1"/>
    </xf>
    <xf numFmtId="0" fontId="30" fillId="0" borderId="1" xfId="0" applyFont="1" applyBorder="1" applyAlignment="1">
      <alignment horizontal="center" vertical="center" wrapText="1"/>
    </xf>
    <xf numFmtId="0" fontId="4" fillId="0" borderId="1" xfId="0" applyFont="1" applyBorder="1" applyAlignment="1">
      <alignment horizontal="center" vertical="center" shrinkToFit="1"/>
    </xf>
    <xf numFmtId="3" fontId="4" fillId="0" borderId="1" xfId="0" applyNumberFormat="1" applyFont="1" applyBorder="1" applyAlignment="1">
      <alignment horizontal="center" vertical="center" shrinkToFit="1"/>
    </xf>
    <xf numFmtId="165" fontId="4" fillId="0" borderId="1" xfId="0" quotePrefix="1" applyNumberFormat="1" applyFont="1" applyBorder="1" applyAlignment="1">
      <alignment horizontal="center" vertical="center" shrinkToFit="1"/>
    </xf>
    <xf numFmtId="0" fontId="4" fillId="0" borderId="1" xfId="2" quotePrefix="1" applyFont="1" applyBorder="1" applyAlignment="1">
      <alignment horizontal="center" vertical="center"/>
    </xf>
    <xf numFmtId="0" fontId="4" fillId="2" borderId="1" xfId="0" quotePrefix="1" applyFont="1" applyFill="1" applyBorder="1" applyAlignment="1">
      <alignment horizontal="center" vertical="center"/>
    </xf>
    <xf numFmtId="0" fontId="4" fillId="2" borderId="1" xfId="0" applyFont="1" applyFill="1" applyBorder="1" applyAlignment="1">
      <alignment horizontal="center" vertical="center" shrinkToFit="1"/>
    </xf>
    <xf numFmtId="0" fontId="4" fillId="0" borderId="1" xfId="0" applyFont="1" applyBorder="1" applyAlignment="1">
      <alignment horizontal="center" vertical="center" wrapText="1"/>
    </xf>
    <xf numFmtId="0" fontId="4" fillId="0" borderId="1" xfId="0" quotePrefix="1" applyFont="1" applyBorder="1" applyAlignment="1">
      <alignment horizontal="center" vertical="center" shrinkToFit="1"/>
    </xf>
    <xf numFmtId="0" fontId="22" fillId="2" borderId="1" xfId="0" applyFont="1" applyFill="1" applyBorder="1" applyAlignment="1">
      <alignment horizontal="center" vertical="center" shrinkToFit="1"/>
    </xf>
    <xf numFmtId="0" fontId="4" fillId="2" borderId="1" xfId="0" applyFont="1" applyFill="1" applyBorder="1" applyAlignment="1">
      <alignment horizontal="center" vertical="center"/>
    </xf>
    <xf numFmtId="0" fontId="4" fillId="2" borderId="1" xfId="0" quotePrefix="1" applyFont="1" applyFill="1" applyBorder="1" applyAlignment="1">
      <alignment horizontal="center" vertical="center" shrinkToFit="1"/>
    </xf>
    <xf numFmtId="3" fontId="4" fillId="2" borderId="1" xfId="0" applyNumberFormat="1" applyFont="1" applyFill="1" applyBorder="1" applyAlignment="1">
      <alignment horizontal="center" vertical="center" shrinkToFit="1"/>
    </xf>
    <xf numFmtId="3" fontId="4" fillId="2" borderId="1" xfId="1" applyNumberFormat="1" applyFont="1" applyFill="1" applyBorder="1" applyAlignment="1">
      <alignment horizontal="center" vertical="center" shrinkToFit="1"/>
    </xf>
    <xf numFmtId="0" fontId="9" fillId="0" borderId="1" xfId="4" quotePrefix="1" applyFont="1" applyBorder="1" applyAlignment="1">
      <alignment horizontal="center" vertical="center"/>
    </xf>
    <xf numFmtId="0" fontId="40" fillId="0" borderId="1" xfId="0" quotePrefix="1" applyFont="1" applyBorder="1" applyAlignment="1">
      <alignment horizontal="center" vertical="center"/>
    </xf>
    <xf numFmtId="0" fontId="9" fillId="0" borderId="1" xfId="0" quotePrefix="1" applyFont="1" applyBorder="1" applyAlignment="1">
      <alignment horizontal="center" vertical="center"/>
    </xf>
    <xf numFmtId="1" fontId="9" fillId="2" borderId="1" xfId="0" quotePrefix="1" applyNumberFormat="1" applyFont="1" applyFill="1" applyBorder="1" applyAlignment="1">
      <alignment horizontal="center" vertical="center" shrinkToFit="1"/>
    </xf>
    <xf numFmtId="1" fontId="9" fillId="2" borderId="1" xfId="0" applyNumberFormat="1" applyFont="1" applyFill="1" applyBorder="1" applyAlignment="1">
      <alignment horizontal="center" vertical="center"/>
    </xf>
    <xf numFmtId="0" fontId="41" fillId="0" borderId="1" xfId="0" quotePrefix="1" applyFont="1" applyBorder="1" applyAlignment="1">
      <alignment horizontal="center" vertical="center"/>
    </xf>
    <xf numFmtId="0" fontId="25" fillId="0" borderId="0" xfId="0" applyFont="1" applyAlignment="1">
      <alignment horizontal="center" vertical="center" shrinkToFit="1"/>
    </xf>
    <xf numFmtId="0" fontId="39" fillId="0" borderId="0" xfId="0" applyFont="1" applyAlignment="1">
      <alignment vertical="center"/>
    </xf>
    <xf numFmtId="167" fontId="39" fillId="0" borderId="0" xfId="1" applyNumberFormat="1" applyFont="1" applyFill="1" applyAlignment="1">
      <alignment vertical="center"/>
    </xf>
    <xf numFmtId="0" fontId="42" fillId="0" borderId="0" xfId="0" applyFont="1" applyAlignment="1">
      <alignment horizontal="center" vertical="center"/>
    </xf>
    <xf numFmtId="0" fontId="28" fillId="0" borderId="0" xfId="0" applyFont="1" applyAlignment="1">
      <alignment horizontal="center"/>
    </xf>
    <xf numFmtId="0" fontId="28" fillId="0" borderId="0" xfId="0" applyFont="1" applyAlignment="1">
      <alignment vertical="center"/>
    </xf>
    <xf numFmtId="0" fontId="28" fillId="0" borderId="0" xfId="0" applyFont="1" applyAlignment="1">
      <alignment horizontal="left"/>
    </xf>
    <xf numFmtId="0" fontId="30" fillId="0" borderId="0" xfId="0" applyFont="1" applyAlignment="1">
      <alignment horizontal="center"/>
    </xf>
    <xf numFmtId="0" fontId="22" fillId="0" borderId="1" xfId="0" quotePrefix="1" applyFont="1" applyBorder="1" applyAlignment="1">
      <alignment vertical="center" shrinkToFit="1"/>
    </xf>
    <xf numFmtId="0" fontId="22" fillId="0" borderId="1" xfId="0" applyFont="1" applyBorder="1" applyAlignment="1">
      <alignment horizontal="center" vertical="center" shrinkToFit="1"/>
    </xf>
    <xf numFmtId="3" fontId="22" fillId="2" borderId="1" xfId="0" applyNumberFormat="1" applyFont="1" applyFill="1" applyBorder="1" applyAlignment="1">
      <alignment horizontal="center" vertical="center" shrinkToFit="1"/>
    </xf>
    <xf numFmtId="165" fontId="22" fillId="0" borderId="1" xfId="0" quotePrefix="1" applyNumberFormat="1" applyFont="1" applyBorder="1" applyAlignment="1">
      <alignment horizontal="center" vertical="center" shrinkToFit="1"/>
    </xf>
    <xf numFmtId="0" fontId="22" fillId="0" borderId="1" xfId="2" quotePrefix="1" applyFont="1" applyBorder="1" applyAlignment="1">
      <alignment horizontal="center" vertical="center"/>
    </xf>
    <xf numFmtId="0" fontId="26" fillId="0" borderId="0" xfId="0" applyFont="1"/>
    <xf numFmtId="166" fontId="22" fillId="0" borderId="1" xfId="1" applyNumberFormat="1" applyFont="1" applyBorder="1" applyAlignment="1">
      <alignment horizontal="center" vertical="center" wrapText="1" shrinkToFit="1"/>
    </xf>
    <xf numFmtId="0" fontId="8" fillId="0" borderId="0" xfId="0" applyFont="1" applyAlignment="1">
      <alignment horizontal="center" vertical="center"/>
    </xf>
    <xf numFmtId="0" fontId="23" fillId="2" borderId="1" xfId="0" applyFont="1" applyFill="1" applyBorder="1" applyAlignment="1">
      <alignment horizontal="center" vertical="center" shrinkToFit="1"/>
    </xf>
    <xf numFmtId="0" fontId="22" fillId="0" borderId="0" xfId="0" applyFont="1" applyAlignment="1">
      <alignment horizontal="center" vertical="center" shrinkToFit="1"/>
    </xf>
    <xf numFmtId="0" fontId="7" fillId="4"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shrinkToFit="1"/>
    </xf>
    <xf numFmtId="0" fontId="8" fillId="2" borderId="1" xfId="0" applyFont="1" applyFill="1" applyBorder="1" applyAlignment="1">
      <alignment horizontal="center" vertical="center" wrapText="1" shrinkToFit="1"/>
    </xf>
    <xf numFmtId="0" fontId="7" fillId="2" borderId="0" xfId="0" applyFont="1" applyFill="1" applyAlignment="1">
      <alignment horizontal="center" vertical="center"/>
    </xf>
    <xf numFmtId="0" fontId="4" fillId="0" borderId="1" xfId="0" applyFont="1" applyBorder="1" applyAlignment="1">
      <alignment horizontal="center" vertical="center" wrapText="1" shrinkToFit="1"/>
    </xf>
    <xf numFmtId="0" fontId="29" fillId="2" borderId="0" xfId="0" applyFont="1" applyFill="1" applyAlignment="1">
      <alignment horizontal="center"/>
    </xf>
    <xf numFmtId="0" fontId="0" fillId="2" borderId="0" xfId="0" applyFill="1"/>
    <xf numFmtId="0" fontId="22" fillId="0" borderId="1" xfId="0" quotePrefix="1" applyFont="1" applyBorder="1" applyAlignment="1">
      <alignment horizontal="center" vertical="center" shrinkToFit="1"/>
    </xf>
    <xf numFmtId="0" fontId="9" fillId="0" borderId="1" xfId="0" quotePrefix="1" applyFont="1" applyBorder="1" applyAlignment="1">
      <alignment horizontal="center" vertical="center" shrinkToFit="1"/>
    </xf>
    <xf numFmtId="1" fontId="9" fillId="0" borderId="1" xfId="0" quotePrefix="1" applyNumberFormat="1" applyFont="1" applyBorder="1" applyAlignment="1">
      <alignment horizontal="center" vertical="center" shrinkToFit="1"/>
    </xf>
    <xf numFmtId="0" fontId="9" fillId="2" borderId="1" xfId="0" applyFont="1" applyFill="1" applyBorder="1" applyAlignment="1">
      <alignment horizontal="center" vertical="center" shrinkToFit="1"/>
    </xf>
    <xf numFmtId="3" fontId="9" fillId="2" borderId="1" xfId="1" applyNumberFormat="1" applyFont="1" applyFill="1" applyBorder="1" applyAlignment="1">
      <alignment horizontal="center" vertical="center" shrinkToFit="1"/>
    </xf>
    <xf numFmtId="165" fontId="9" fillId="2" borderId="1" xfId="0" applyNumberFormat="1" applyFont="1" applyFill="1" applyBorder="1" applyAlignment="1">
      <alignment horizontal="center" vertical="center" shrinkToFit="1"/>
    </xf>
    <xf numFmtId="0" fontId="9" fillId="0" borderId="1" xfId="0" applyFont="1" applyBorder="1" applyAlignment="1">
      <alignment horizontal="center" vertical="center" shrinkToFit="1"/>
    </xf>
    <xf numFmtId="3" fontId="9" fillId="0" borderId="1" xfId="1" applyNumberFormat="1" applyFont="1" applyFill="1" applyBorder="1" applyAlignment="1">
      <alignment horizontal="center" vertical="center" shrinkToFit="1"/>
    </xf>
    <xf numFmtId="165" fontId="9" fillId="0" borderId="1" xfId="0" applyNumberFormat="1" applyFont="1" applyBorder="1" applyAlignment="1">
      <alignment horizontal="center" vertical="center" shrinkToFit="1"/>
    </xf>
    <xf numFmtId="165" fontId="9" fillId="0" borderId="1" xfId="0" quotePrefix="1" applyNumberFormat="1" applyFont="1" applyBorder="1" applyAlignment="1">
      <alignment horizontal="center" vertical="center" shrinkToFit="1"/>
    </xf>
    <xf numFmtId="0" fontId="9" fillId="2" borderId="1" xfId="0" quotePrefix="1" applyFont="1" applyFill="1" applyBorder="1" applyAlignment="1">
      <alignment horizontal="center" vertical="center" shrinkToFit="1"/>
    </xf>
    <xf numFmtId="165" fontId="9" fillId="2" borderId="1" xfId="0" quotePrefix="1" applyNumberFormat="1" applyFont="1" applyFill="1" applyBorder="1" applyAlignment="1">
      <alignment horizontal="center" vertical="center" shrinkToFit="1"/>
    </xf>
    <xf numFmtId="1" fontId="9" fillId="0" borderId="1" xfId="0" applyNumberFormat="1" applyFont="1" applyBorder="1" applyAlignment="1">
      <alignment horizontal="center" vertical="center" shrinkToFit="1"/>
    </xf>
    <xf numFmtId="1" fontId="4" fillId="0" borderId="1" xfId="0" quotePrefix="1" applyNumberFormat="1" applyFont="1" applyBorder="1" applyAlignment="1">
      <alignment horizontal="center" vertical="center" shrinkToFit="1"/>
    </xf>
    <xf numFmtId="1" fontId="4" fillId="0" borderId="1" xfId="0" applyNumberFormat="1" applyFont="1" applyBorder="1" applyAlignment="1">
      <alignment horizontal="center" vertical="center" shrinkToFit="1"/>
    </xf>
    <xf numFmtId="3" fontId="4" fillId="0" borderId="1" xfId="1" applyNumberFormat="1" applyFont="1" applyFill="1" applyBorder="1" applyAlignment="1">
      <alignment horizontal="center" vertical="center" shrinkToFit="1"/>
    </xf>
    <xf numFmtId="49" fontId="9" fillId="0" borderId="1" xfId="0" applyNumberFormat="1" applyFont="1" applyBorder="1" applyAlignment="1">
      <alignment horizontal="center" vertical="center" shrinkToFit="1"/>
    </xf>
    <xf numFmtId="3" fontId="22" fillId="0" borderId="1" xfId="1" applyNumberFormat="1" applyFont="1" applyFill="1" applyBorder="1" applyAlignment="1">
      <alignment horizontal="center" vertical="center" shrinkToFit="1"/>
    </xf>
    <xf numFmtId="0" fontId="43" fillId="0" borderId="0" xfId="0" applyFont="1" applyAlignment="1">
      <alignment horizontal="left"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center" vertical="center" wrapText="1"/>
    </xf>
    <xf numFmtId="167" fontId="7" fillId="0" borderId="0" xfId="1" applyNumberFormat="1" applyFont="1" applyFill="1" applyAlignment="1">
      <alignment vertical="center"/>
    </xf>
    <xf numFmtId="0" fontId="7" fillId="0" borderId="0" xfId="0" applyFont="1" applyAlignment="1">
      <alignment horizontal="left" vertical="center"/>
    </xf>
    <xf numFmtId="0" fontId="0" fillId="0" borderId="0" xfId="0" applyAlignment="1">
      <alignment horizontal="center"/>
    </xf>
    <xf numFmtId="3" fontId="29" fillId="0" borderId="3" xfId="0" applyNumberFormat="1" applyFont="1" applyBorder="1" applyAlignment="1">
      <alignment horizontal="center" vertical="center" shrinkToFit="1"/>
    </xf>
    <xf numFmtId="0" fontId="27" fillId="0" borderId="4" xfId="0" applyFont="1" applyBorder="1" applyAlignment="1">
      <alignment horizontal="center" vertical="center" shrinkToFit="1"/>
    </xf>
    <xf numFmtId="0" fontId="22" fillId="0" borderId="4" xfId="0" quotePrefix="1" applyFont="1" applyBorder="1" applyAlignment="1">
      <alignment vertical="center" shrinkToFit="1"/>
    </xf>
    <xf numFmtId="0" fontId="22" fillId="0" borderId="4" xfId="0" applyFont="1" applyBorder="1" applyAlignment="1">
      <alignment horizontal="center" vertical="center" shrinkToFit="1"/>
    </xf>
    <xf numFmtId="0" fontId="23" fillId="0" borderId="4" xfId="0" applyFont="1" applyBorder="1" applyAlignment="1">
      <alignment horizontal="center" vertical="center" shrinkToFit="1"/>
    </xf>
    <xf numFmtId="0" fontId="7" fillId="0" borderId="1" xfId="0" applyFont="1" applyBorder="1" applyAlignment="1">
      <alignment vertical="center"/>
    </xf>
    <xf numFmtId="167" fontId="7" fillId="0" borderId="1" xfId="1" applyNumberFormat="1" applyFont="1" applyFill="1" applyBorder="1" applyAlignment="1">
      <alignment vertical="center"/>
    </xf>
    <xf numFmtId="0" fontId="7" fillId="0" borderId="1" xfId="0" applyFont="1" applyBorder="1" applyAlignment="1">
      <alignment horizontal="left" vertical="center"/>
    </xf>
    <xf numFmtId="0" fontId="8" fillId="0" borderId="1" xfId="0" applyFont="1" applyBorder="1" applyAlignment="1">
      <alignment horizontal="center" vertical="center"/>
    </xf>
    <xf numFmtId="0" fontId="39" fillId="0" borderId="1" xfId="0" applyFont="1" applyBorder="1" applyAlignment="1">
      <alignment vertical="center"/>
    </xf>
    <xf numFmtId="0" fontId="39" fillId="0" borderId="1" xfId="0" applyFont="1" applyBorder="1" applyAlignment="1">
      <alignment horizontal="center" vertical="center"/>
    </xf>
    <xf numFmtId="167" fontId="39" fillId="0" borderId="1" xfId="1" applyNumberFormat="1" applyFont="1" applyFill="1" applyBorder="1" applyAlignment="1">
      <alignment vertical="center"/>
    </xf>
    <xf numFmtId="0" fontId="39" fillId="0" borderId="1" xfId="0" applyFont="1" applyBorder="1" applyAlignment="1">
      <alignment horizontal="left" vertical="center"/>
    </xf>
    <xf numFmtId="0" fontId="42" fillId="0" borderId="1" xfId="0" applyFont="1" applyBorder="1" applyAlignment="1">
      <alignment horizontal="center" vertical="center"/>
    </xf>
    <xf numFmtId="0" fontId="8" fillId="0" borderId="1" xfId="0" quotePrefix="1" applyFont="1" applyBorder="1" applyAlignment="1">
      <alignment horizontal="center" vertical="center" shrinkToFit="1"/>
    </xf>
    <xf numFmtId="0" fontId="8" fillId="0" borderId="1" xfId="0" quotePrefix="1" applyFont="1" applyBorder="1" applyAlignment="1">
      <alignment vertical="center" shrinkToFit="1"/>
    </xf>
    <xf numFmtId="0" fontId="8" fillId="2" borderId="1" xfId="0" quotePrefix="1" applyFont="1" applyFill="1" applyBorder="1" applyAlignment="1">
      <alignment horizontal="center" vertical="center" wrapText="1" shrinkToFit="1"/>
    </xf>
    <xf numFmtId="0" fontId="8" fillId="0" borderId="1" xfId="0" quotePrefix="1" applyFont="1" applyBorder="1" applyAlignment="1">
      <alignment horizontal="center" vertical="center" wrapText="1" shrinkToFit="1"/>
    </xf>
    <xf numFmtId="0" fontId="22" fillId="2" borderId="1" xfId="0" quotePrefix="1" applyFont="1" applyFill="1" applyBorder="1" applyAlignment="1">
      <alignment horizontal="center" vertical="center" wrapText="1" shrinkToFit="1"/>
    </xf>
    <xf numFmtId="0" fontId="2"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0" fontId="15" fillId="0" borderId="0" xfId="0" applyFont="1" applyAlignment="1">
      <alignment horizontal="center" vertical="center"/>
    </xf>
    <xf numFmtId="0" fontId="7" fillId="0" borderId="1" xfId="0" applyFont="1" applyBorder="1" applyAlignment="1">
      <alignment horizontal="center" vertical="center" shrinkToFit="1"/>
    </xf>
    <xf numFmtId="0" fontId="18" fillId="0" borderId="0" xfId="0" applyFont="1" applyAlignment="1">
      <alignment horizontal="center" vertical="center"/>
    </xf>
    <xf numFmtId="0" fontId="19" fillId="0" borderId="0" xfId="0" applyFont="1" applyAlignment="1">
      <alignment horizontal="center" vertical="center"/>
    </xf>
    <xf numFmtId="0" fontId="7" fillId="0" borderId="0" xfId="0" applyFont="1" applyAlignment="1">
      <alignment horizontal="center" vertical="center"/>
    </xf>
    <xf numFmtId="0" fontId="31"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shrinkToFit="1"/>
    </xf>
    <xf numFmtId="0" fontId="29" fillId="0" borderId="0" xfId="0" applyFont="1" applyAlignment="1">
      <alignment horizontal="left" vertical="center" shrinkToFit="1"/>
    </xf>
    <xf numFmtId="0" fontId="44" fillId="0" borderId="5" xfId="0" applyFont="1" applyBorder="1" applyAlignment="1">
      <alignment horizontal="center" vertical="center"/>
    </xf>
    <xf numFmtId="0" fontId="44" fillId="0" borderId="2" xfId="0" applyFont="1" applyBorder="1" applyAlignment="1">
      <alignment horizontal="center" vertical="center"/>
    </xf>
    <xf numFmtId="0" fontId="44" fillId="0" borderId="3" xfId="0" applyFont="1" applyBorder="1" applyAlignment="1">
      <alignment horizontal="center" vertical="center"/>
    </xf>
    <xf numFmtId="0" fontId="29" fillId="0" borderId="5" xfId="0" applyFont="1" applyBorder="1" applyAlignment="1">
      <alignment horizontal="center" vertical="center" shrinkToFit="1"/>
    </xf>
    <xf numFmtId="0" fontId="29" fillId="0" borderId="2" xfId="0" applyFont="1" applyBorder="1" applyAlignment="1">
      <alignment horizontal="center" vertical="center" shrinkToFit="1"/>
    </xf>
    <xf numFmtId="0" fontId="29" fillId="0" borderId="3" xfId="0" applyFont="1" applyBorder="1" applyAlignment="1">
      <alignment horizontal="center" vertical="center" shrinkToFit="1"/>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0" fontId="39" fillId="0" borderId="0" xfId="0" applyFont="1" applyAlignment="1">
      <alignment horizontal="center" vertical="center"/>
    </xf>
    <xf numFmtId="0" fontId="39" fillId="0" borderId="0" xfId="0" applyFont="1" applyAlignment="1">
      <alignment horizontal="left" vertical="center"/>
    </xf>
    <xf numFmtId="0" fontId="44" fillId="0" borderId="5" xfId="0" applyFont="1" applyBorder="1" applyAlignment="1">
      <alignment horizontal="center"/>
    </xf>
    <xf numFmtId="0" fontId="44" fillId="0" borderId="2" xfId="0" applyFont="1" applyBorder="1" applyAlignment="1">
      <alignment horizontal="center"/>
    </xf>
    <xf numFmtId="0" fontId="44" fillId="0" borderId="3" xfId="0" applyFont="1" applyBorder="1" applyAlignment="1">
      <alignment horizontal="center"/>
    </xf>
    <xf numFmtId="0" fontId="7" fillId="0" borderId="6" xfId="0" applyFont="1" applyBorder="1" applyAlignment="1">
      <alignment horizontal="center" vertical="center"/>
    </xf>
    <xf numFmtId="0" fontId="4" fillId="0" borderId="0" xfId="0" applyFont="1" applyAlignment="1">
      <alignment horizontal="center" vertical="center"/>
    </xf>
    <xf numFmtId="0" fontId="7" fillId="0" borderId="0" xfId="0" applyFont="1" applyAlignment="1">
      <alignment horizontal="center" vertical="center" shrinkToFit="1"/>
    </xf>
    <xf numFmtId="0" fontId="36" fillId="0" borderId="0" xfId="0" applyFont="1" applyAlignment="1">
      <alignment horizontal="left" vertical="center" shrinkToFit="1"/>
    </xf>
    <xf numFmtId="0" fontId="7" fillId="0" borderId="0" xfId="0" applyFont="1" applyAlignment="1">
      <alignment horizontal="left" vertical="center" shrinkToFit="1"/>
    </xf>
    <xf numFmtId="0" fontId="20" fillId="0" borderId="1" xfId="0" applyFont="1" applyBorder="1" applyAlignment="1">
      <alignment horizontal="center" vertical="center" wrapText="1"/>
    </xf>
  </cellXfs>
  <cellStyles count="5">
    <cellStyle name="Comma" xfId="1" builtinId="3"/>
    <cellStyle name="Hyperlink" xfId="4" builtinId="8"/>
    <cellStyle name="Normal" xfId="0" builtinId="0"/>
    <cellStyle name="Normal 2" xfId="2" xr:uid="{A2FE122A-5F62-44FF-94E9-01E478F6B391}"/>
    <cellStyle name="Normal 5" xfId="3" xr:uid="{9CBD8620-8E7C-41CF-A7C2-C0BC53061CE9}"/>
  </cellStyles>
  <dxfs count="20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990751</xdr:colOff>
      <xdr:row>2</xdr:row>
      <xdr:rowOff>12698</xdr:rowOff>
    </xdr:from>
    <xdr:to>
      <xdr:col>2</xdr:col>
      <xdr:colOff>908050</xdr:colOff>
      <xdr:row>2</xdr:row>
      <xdr:rowOff>12698</xdr:rowOff>
    </xdr:to>
    <xdr:cxnSp macro="">
      <xdr:nvCxnSpPr>
        <xdr:cNvPr id="2" name="Straight Connector 1">
          <a:extLst>
            <a:ext uri="{FF2B5EF4-FFF2-40B4-BE49-F238E27FC236}">
              <a16:creationId xmlns:a16="http://schemas.microsoft.com/office/drawing/2014/main" id="{6674E1C8-0F8D-4846-B06C-98865879F113}"/>
            </a:ext>
          </a:extLst>
        </xdr:cNvPr>
        <xdr:cNvCxnSpPr/>
      </xdr:nvCxnSpPr>
      <xdr:spPr>
        <a:xfrm>
          <a:off x="1524151" y="431798"/>
          <a:ext cx="133652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857251</xdr:colOff>
      <xdr:row>2</xdr:row>
      <xdr:rowOff>0</xdr:rowOff>
    </xdr:from>
    <xdr:to>
      <xdr:col>13</xdr:col>
      <xdr:colOff>740834</xdr:colOff>
      <xdr:row>2</xdr:row>
      <xdr:rowOff>0</xdr:rowOff>
    </xdr:to>
    <xdr:cxnSp macro="">
      <xdr:nvCxnSpPr>
        <xdr:cNvPr id="3" name="Straight Connector 2">
          <a:extLst>
            <a:ext uri="{FF2B5EF4-FFF2-40B4-BE49-F238E27FC236}">
              <a16:creationId xmlns:a16="http://schemas.microsoft.com/office/drawing/2014/main" id="{5870F48D-6E0B-42D3-A260-F86D6FE9843F}"/>
            </a:ext>
          </a:extLst>
        </xdr:cNvPr>
        <xdr:cNvCxnSpPr/>
      </xdr:nvCxnSpPr>
      <xdr:spPr>
        <a:xfrm>
          <a:off x="11182351" y="419100"/>
          <a:ext cx="198860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990751</xdr:colOff>
      <xdr:row>2</xdr:row>
      <xdr:rowOff>12698</xdr:rowOff>
    </xdr:from>
    <xdr:to>
      <xdr:col>2</xdr:col>
      <xdr:colOff>908050</xdr:colOff>
      <xdr:row>2</xdr:row>
      <xdr:rowOff>12698</xdr:rowOff>
    </xdr:to>
    <xdr:cxnSp macro="">
      <xdr:nvCxnSpPr>
        <xdr:cNvPr id="2" name="Straight Connector 1">
          <a:extLst>
            <a:ext uri="{FF2B5EF4-FFF2-40B4-BE49-F238E27FC236}">
              <a16:creationId xmlns:a16="http://schemas.microsoft.com/office/drawing/2014/main" id="{5531E63A-7BF8-4A32-B957-DE2672CB56F6}"/>
            </a:ext>
          </a:extLst>
        </xdr:cNvPr>
        <xdr:cNvCxnSpPr/>
      </xdr:nvCxnSpPr>
      <xdr:spPr>
        <a:xfrm>
          <a:off x="1524151" y="431798"/>
          <a:ext cx="133652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857251</xdr:colOff>
      <xdr:row>2</xdr:row>
      <xdr:rowOff>0</xdr:rowOff>
    </xdr:from>
    <xdr:to>
      <xdr:col>13</xdr:col>
      <xdr:colOff>740834</xdr:colOff>
      <xdr:row>2</xdr:row>
      <xdr:rowOff>0</xdr:rowOff>
    </xdr:to>
    <xdr:cxnSp macro="">
      <xdr:nvCxnSpPr>
        <xdr:cNvPr id="3" name="Straight Connector 2">
          <a:extLst>
            <a:ext uri="{FF2B5EF4-FFF2-40B4-BE49-F238E27FC236}">
              <a16:creationId xmlns:a16="http://schemas.microsoft.com/office/drawing/2014/main" id="{EE069B18-E2D8-4FBA-97E5-AA65A1E8EEC9}"/>
            </a:ext>
          </a:extLst>
        </xdr:cNvPr>
        <xdr:cNvCxnSpPr/>
      </xdr:nvCxnSpPr>
      <xdr:spPr>
        <a:xfrm>
          <a:off x="11182351" y="419100"/>
          <a:ext cx="198860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1119058</xdr:colOff>
      <xdr:row>1</xdr:row>
      <xdr:rowOff>191992</xdr:rowOff>
    </xdr:from>
    <xdr:to>
      <xdr:col>3</xdr:col>
      <xdr:colOff>683932</xdr:colOff>
      <xdr:row>1</xdr:row>
      <xdr:rowOff>191992</xdr:rowOff>
    </xdr:to>
    <xdr:cxnSp macro="">
      <xdr:nvCxnSpPr>
        <xdr:cNvPr id="2" name="Straight Connector 1">
          <a:extLst>
            <a:ext uri="{FF2B5EF4-FFF2-40B4-BE49-F238E27FC236}">
              <a16:creationId xmlns:a16="http://schemas.microsoft.com/office/drawing/2014/main" id="{CFD1AAB4-6A06-4701-AD3B-D35479073D3E}"/>
            </a:ext>
          </a:extLst>
        </xdr:cNvPr>
        <xdr:cNvCxnSpPr/>
      </xdr:nvCxnSpPr>
      <xdr:spPr>
        <a:xfrm>
          <a:off x="1509583" y="487267"/>
          <a:ext cx="101267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752694</xdr:colOff>
      <xdr:row>2</xdr:row>
      <xdr:rowOff>0</xdr:rowOff>
    </xdr:from>
    <xdr:to>
      <xdr:col>13</xdr:col>
      <xdr:colOff>822979</xdr:colOff>
      <xdr:row>2</xdr:row>
      <xdr:rowOff>0</xdr:rowOff>
    </xdr:to>
    <xdr:cxnSp macro="">
      <xdr:nvCxnSpPr>
        <xdr:cNvPr id="3" name="Straight Connector 2">
          <a:extLst>
            <a:ext uri="{FF2B5EF4-FFF2-40B4-BE49-F238E27FC236}">
              <a16:creationId xmlns:a16="http://schemas.microsoft.com/office/drawing/2014/main" id="{B8369138-89A0-4935-8789-90F29512F55C}"/>
            </a:ext>
          </a:extLst>
        </xdr:cNvPr>
        <xdr:cNvCxnSpPr/>
      </xdr:nvCxnSpPr>
      <xdr:spPr>
        <a:xfrm>
          <a:off x="10982544" y="504825"/>
          <a:ext cx="262298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1119058</xdr:colOff>
      <xdr:row>1</xdr:row>
      <xdr:rowOff>191992</xdr:rowOff>
    </xdr:from>
    <xdr:to>
      <xdr:col>3</xdr:col>
      <xdr:colOff>683932</xdr:colOff>
      <xdr:row>1</xdr:row>
      <xdr:rowOff>191992</xdr:rowOff>
    </xdr:to>
    <xdr:cxnSp macro="">
      <xdr:nvCxnSpPr>
        <xdr:cNvPr id="2" name="Straight Connector 1">
          <a:extLst>
            <a:ext uri="{FF2B5EF4-FFF2-40B4-BE49-F238E27FC236}">
              <a16:creationId xmlns:a16="http://schemas.microsoft.com/office/drawing/2014/main" id="{AF852D9B-6072-4CD0-BC00-17023B60EA93}"/>
            </a:ext>
          </a:extLst>
        </xdr:cNvPr>
        <xdr:cNvCxnSpPr/>
      </xdr:nvCxnSpPr>
      <xdr:spPr>
        <a:xfrm>
          <a:off x="1509583" y="487267"/>
          <a:ext cx="101267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752694</xdr:colOff>
      <xdr:row>2</xdr:row>
      <xdr:rowOff>0</xdr:rowOff>
    </xdr:from>
    <xdr:to>
      <xdr:col>13</xdr:col>
      <xdr:colOff>822979</xdr:colOff>
      <xdr:row>2</xdr:row>
      <xdr:rowOff>0</xdr:rowOff>
    </xdr:to>
    <xdr:cxnSp macro="">
      <xdr:nvCxnSpPr>
        <xdr:cNvPr id="3" name="Straight Connector 2">
          <a:extLst>
            <a:ext uri="{FF2B5EF4-FFF2-40B4-BE49-F238E27FC236}">
              <a16:creationId xmlns:a16="http://schemas.microsoft.com/office/drawing/2014/main" id="{060C0103-7730-453A-8B13-0ECA3FAFEE5B}"/>
            </a:ext>
          </a:extLst>
        </xdr:cNvPr>
        <xdr:cNvCxnSpPr/>
      </xdr:nvCxnSpPr>
      <xdr:spPr>
        <a:xfrm>
          <a:off x="10982544" y="590550"/>
          <a:ext cx="262298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javascript:;" TargetMode="External"/><Relationship Id="rId1" Type="http://schemas.openxmlformats.org/officeDocument/2006/relationships/hyperlink" Target="javascrip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866E8-41B9-4FBC-B63D-FBAF45889E40}">
  <dimension ref="A1:W77"/>
  <sheetViews>
    <sheetView zoomScale="55" zoomScaleNormal="55" zoomScaleSheetLayoutView="34" workbookViewId="0">
      <selection activeCell="A5" sqref="A5:V5"/>
    </sheetView>
  </sheetViews>
  <sheetFormatPr defaultColWidth="9" defaultRowHeight="18" x14ac:dyDescent="0.35"/>
  <cols>
    <col min="1" max="1" width="5.83203125" style="4" customWidth="1"/>
    <col min="2" max="2" width="8" style="4" hidden="1" customWidth="1"/>
    <col min="3" max="3" width="8.5" style="4" hidden="1" customWidth="1"/>
    <col min="4" max="4" width="20" style="4" customWidth="1"/>
    <col min="5" max="5" width="21.08203125" style="4" customWidth="1"/>
    <col min="6" max="6" width="6.75" style="4" customWidth="1"/>
    <col min="7" max="7" width="8" style="18" customWidth="1"/>
    <col min="8" max="8" width="16.08203125" style="18" customWidth="1"/>
    <col min="9" max="9" width="16.08203125" style="4" customWidth="1"/>
    <col min="10" max="10" width="18.33203125" style="4" hidden="1" customWidth="1"/>
    <col min="11" max="11" width="11" style="4" hidden="1" customWidth="1"/>
    <col min="12" max="12" width="0" style="18" hidden="1" customWidth="1"/>
    <col min="13" max="13" width="19.83203125" style="4" customWidth="1"/>
    <col min="14" max="14" width="8.5" style="4" customWidth="1"/>
    <col min="15" max="15" width="14.58203125" style="4" hidden="1" customWidth="1"/>
    <col min="16" max="16" width="14.33203125" style="4" customWidth="1"/>
    <col min="17" max="17" width="5.58203125" style="4" customWidth="1"/>
    <col min="18" max="18" width="15.08203125" style="4" customWidth="1"/>
    <col min="19" max="19" width="15.25" style="4" customWidth="1"/>
    <col min="20" max="20" width="13.33203125" style="4" customWidth="1"/>
    <col min="21" max="21" width="18.08203125" style="4" customWidth="1"/>
    <col min="22" max="22" width="15" style="4" customWidth="1"/>
    <col min="23" max="23" width="11.83203125" style="4" customWidth="1"/>
    <col min="24" max="16384" width="9" style="4"/>
  </cols>
  <sheetData>
    <row r="1" spans="1:23" ht="29.25" customHeight="1" x14ac:dyDescent="0.35">
      <c r="A1" s="203" t="s">
        <v>0</v>
      </c>
      <c r="B1" s="203"/>
      <c r="C1" s="203"/>
      <c r="D1" s="203"/>
      <c r="E1" s="203"/>
      <c r="F1" s="2"/>
      <c r="G1" s="3"/>
      <c r="H1" s="3"/>
      <c r="I1" s="2"/>
      <c r="J1" s="2"/>
      <c r="K1" s="2"/>
      <c r="L1" s="3"/>
      <c r="M1" s="204" t="s">
        <v>1</v>
      </c>
      <c r="N1" s="204"/>
      <c r="O1" s="204"/>
      <c r="P1" s="204"/>
      <c r="Q1" s="204"/>
      <c r="R1" s="204"/>
      <c r="S1" s="204"/>
      <c r="T1" s="204"/>
      <c r="U1" s="204"/>
      <c r="V1" s="204"/>
    </row>
    <row r="2" spans="1:23" ht="29.25" customHeight="1" x14ac:dyDescent="0.35">
      <c r="A2" s="205" t="s">
        <v>2</v>
      </c>
      <c r="B2" s="205"/>
      <c r="C2" s="205"/>
      <c r="D2" s="205"/>
      <c r="E2" s="205"/>
      <c r="F2" s="2"/>
      <c r="G2" s="3"/>
      <c r="H2" s="3"/>
      <c r="I2" s="2"/>
      <c r="J2" s="2"/>
      <c r="K2" s="2"/>
      <c r="L2" s="3"/>
      <c r="M2" s="205" t="s">
        <v>3</v>
      </c>
      <c r="N2" s="205"/>
      <c r="O2" s="205"/>
      <c r="P2" s="205"/>
      <c r="Q2" s="205"/>
      <c r="R2" s="205"/>
      <c r="S2" s="205"/>
      <c r="T2" s="205"/>
      <c r="U2" s="205"/>
      <c r="V2" s="205"/>
    </row>
    <row r="3" spans="1:23" ht="29.25" customHeight="1" x14ac:dyDescent="0.35">
      <c r="A3" s="204" t="s">
        <v>334</v>
      </c>
      <c r="B3" s="204"/>
      <c r="C3" s="204"/>
      <c r="D3" s="204"/>
      <c r="E3" s="204"/>
      <c r="F3" s="2"/>
      <c r="G3" s="3"/>
      <c r="H3" s="3"/>
      <c r="I3" s="2"/>
      <c r="J3" s="2"/>
      <c r="K3" s="2"/>
      <c r="L3" s="3"/>
      <c r="M3" s="2"/>
      <c r="N3" s="2"/>
      <c r="O3" s="2"/>
      <c r="P3" s="2"/>
      <c r="Q3" s="2"/>
      <c r="R3" s="2"/>
      <c r="S3" s="2"/>
      <c r="T3" s="2"/>
      <c r="U3" s="5"/>
      <c r="V3" s="2"/>
    </row>
    <row r="4" spans="1:23" ht="29.25" customHeight="1" x14ac:dyDescent="0.35">
      <c r="A4" s="206" t="s">
        <v>324</v>
      </c>
      <c r="B4" s="206"/>
      <c r="C4" s="206"/>
      <c r="D4" s="206"/>
      <c r="E4" s="206"/>
      <c r="F4" s="206"/>
      <c r="G4" s="206"/>
      <c r="H4" s="206"/>
      <c r="I4" s="206"/>
      <c r="J4" s="206"/>
      <c r="K4" s="206"/>
      <c r="L4" s="206"/>
      <c r="M4" s="206"/>
      <c r="N4" s="206"/>
      <c r="O4" s="206"/>
      <c r="P4" s="206"/>
      <c r="Q4" s="206"/>
      <c r="R4" s="206"/>
      <c r="S4" s="206"/>
      <c r="T4" s="206"/>
      <c r="U4" s="206"/>
      <c r="V4" s="206"/>
    </row>
    <row r="5" spans="1:23" ht="29.25" customHeight="1" x14ac:dyDescent="0.35">
      <c r="A5" s="206" t="s">
        <v>343</v>
      </c>
      <c r="B5" s="206"/>
      <c r="C5" s="206"/>
      <c r="D5" s="206"/>
      <c r="E5" s="206"/>
      <c r="F5" s="206"/>
      <c r="G5" s="206"/>
      <c r="H5" s="206"/>
      <c r="I5" s="206"/>
      <c r="J5" s="206"/>
      <c r="K5" s="206"/>
      <c r="L5" s="206"/>
      <c r="M5" s="206"/>
      <c r="N5" s="206"/>
      <c r="O5" s="206"/>
      <c r="P5" s="206"/>
      <c r="Q5" s="206"/>
      <c r="R5" s="206"/>
      <c r="S5" s="206"/>
      <c r="T5" s="206"/>
      <c r="U5" s="206"/>
      <c r="V5" s="206"/>
    </row>
    <row r="6" spans="1:23" x14ac:dyDescent="0.35">
      <c r="A6" s="19"/>
      <c r="B6" s="19"/>
      <c r="C6" s="19"/>
      <c r="D6" s="19"/>
      <c r="E6" s="19"/>
      <c r="F6" s="19"/>
      <c r="G6" s="19"/>
      <c r="H6" s="19"/>
      <c r="I6" s="19"/>
      <c r="J6" s="19"/>
      <c r="K6" s="19"/>
      <c r="L6" s="19"/>
      <c r="M6" s="19"/>
      <c r="N6" s="19"/>
      <c r="O6" s="19"/>
      <c r="P6" s="19"/>
      <c r="Q6" s="19"/>
      <c r="R6" s="19"/>
      <c r="S6" s="19"/>
      <c r="T6" s="19"/>
      <c r="U6" s="19"/>
      <c r="V6" s="19"/>
    </row>
    <row r="7" spans="1:23" s="9" customFormat="1" ht="70" x14ac:dyDescent="0.35">
      <c r="A7" s="6" t="s">
        <v>4</v>
      </c>
      <c r="B7" s="7" t="s">
        <v>5</v>
      </c>
      <c r="C7" s="8" t="s">
        <v>6</v>
      </c>
      <c r="D7" s="7" t="s">
        <v>7</v>
      </c>
      <c r="E7" s="7" t="s">
        <v>8</v>
      </c>
      <c r="F7" s="7" t="s">
        <v>9</v>
      </c>
      <c r="G7" s="7" t="s">
        <v>10</v>
      </c>
      <c r="H7" s="7" t="s">
        <v>11</v>
      </c>
      <c r="I7" s="7" t="s">
        <v>12</v>
      </c>
      <c r="J7" s="8" t="s">
        <v>13</v>
      </c>
      <c r="K7" s="8" t="s">
        <v>14</v>
      </c>
      <c r="L7" s="7" t="s">
        <v>15</v>
      </c>
      <c r="M7" s="7" t="s">
        <v>16</v>
      </c>
      <c r="N7" s="7" t="s">
        <v>17</v>
      </c>
      <c r="O7" s="8" t="s">
        <v>18</v>
      </c>
      <c r="P7" s="7" t="s">
        <v>19</v>
      </c>
      <c r="Q7" s="7" t="s">
        <v>20</v>
      </c>
      <c r="R7" s="7" t="s">
        <v>21</v>
      </c>
      <c r="S7" s="7" t="s">
        <v>22</v>
      </c>
      <c r="T7" s="7" t="s">
        <v>23</v>
      </c>
      <c r="U7" s="7" t="s">
        <v>24</v>
      </c>
      <c r="V7" s="7" t="s">
        <v>25</v>
      </c>
      <c r="W7" s="6"/>
    </row>
    <row r="8" spans="1:23" s="155" customFormat="1" ht="33.75" customHeight="1" x14ac:dyDescent="0.35">
      <c r="A8" s="151">
        <v>1</v>
      </c>
      <c r="B8" s="153"/>
      <c r="C8" s="154"/>
      <c r="D8" s="162" t="s">
        <v>50</v>
      </c>
      <c r="E8" s="162" t="s">
        <v>51</v>
      </c>
      <c r="F8" s="162">
        <v>62</v>
      </c>
      <c r="G8" s="162" t="s">
        <v>43</v>
      </c>
      <c r="H8" s="162" t="s">
        <v>49</v>
      </c>
      <c r="I8" s="162" t="s">
        <v>42</v>
      </c>
      <c r="M8" s="162" t="s">
        <v>37</v>
      </c>
      <c r="N8" s="162" t="s">
        <v>27</v>
      </c>
      <c r="O8" s="162"/>
      <c r="P8" s="163">
        <v>1533000</v>
      </c>
      <c r="Q8" s="163">
        <v>5</v>
      </c>
      <c r="R8" s="163">
        <v>7665000</v>
      </c>
      <c r="S8" s="162" t="s">
        <v>52</v>
      </c>
      <c r="T8" s="164" t="s">
        <v>53</v>
      </c>
      <c r="U8" s="162" t="s">
        <v>54</v>
      </c>
      <c r="V8" s="162" t="s">
        <v>29</v>
      </c>
      <c r="W8" s="152"/>
    </row>
    <row r="9" spans="1:23" s="9" customFormat="1" ht="33.75" customHeight="1" x14ac:dyDescent="0.35">
      <c r="A9" s="6">
        <v>2</v>
      </c>
      <c r="B9" s="7"/>
      <c r="C9" s="8"/>
      <c r="D9" s="165" t="s">
        <v>55</v>
      </c>
      <c r="E9" s="165" t="s">
        <v>56</v>
      </c>
      <c r="F9" s="165">
        <v>62</v>
      </c>
      <c r="G9" s="165" t="s">
        <v>57</v>
      </c>
      <c r="H9" s="165" t="s">
        <v>49</v>
      </c>
      <c r="I9" s="165" t="s">
        <v>42</v>
      </c>
      <c r="M9" s="165" t="s">
        <v>32</v>
      </c>
      <c r="N9" s="165" t="s">
        <v>27</v>
      </c>
      <c r="O9" s="165"/>
      <c r="P9" s="166">
        <v>1533000</v>
      </c>
      <c r="Q9" s="166">
        <v>5</v>
      </c>
      <c r="R9" s="166">
        <v>7665000</v>
      </c>
      <c r="S9" s="165">
        <v>18767496</v>
      </c>
      <c r="T9" s="167" t="s">
        <v>58</v>
      </c>
      <c r="U9" s="165" t="s">
        <v>59</v>
      </c>
      <c r="V9" s="165" t="s">
        <v>29</v>
      </c>
      <c r="W9" s="6"/>
    </row>
    <row r="10" spans="1:23" s="155" customFormat="1" ht="33.75" customHeight="1" x14ac:dyDescent="0.35">
      <c r="A10" s="151">
        <v>3</v>
      </c>
      <c r="B10" s="153"/>
      <c r="C10" s="154"/>
      <c r="D10" s="162" t="s">
        <v>60</v>
      </c>
      <c r="E10" s="162" t="s">
        <v>61</v>
      </c>
      <c r="F10" s="162">
        <v>62</v>
      </c>
      <c r="G10" s="162" t="s">
        <v>57</v>
      </c>
      <c r="H10" s="162" t="s">
        <v>49</v>
      </c>
      <c r="I10" s="162" t="s">
        <v>42</v>
      </c>
      <c r="M10" s="162" t="s">
        <v>32</v>
      </c>
      <c r="N10" s="162" t="s">
        <v>27</v>
      </c>
      <c r="O10" s="162"/>
      <c r="P10" s="163">
        <v>1533000</v>
      </c>
      <c r="Q10" s="163">
        <v>5</v>
      </c>
      <c r="R10" s="163">
        <v>7665000</v>
      </c>
      <c r="S10" s="162" t="s">
        <v>62</v>
      </c>
      <c r="T10" s="164" t="s">
        <v>63</v>
      </c>
      <c r="U10" s="162" t="s">
        <v>64</v>
      </c>
      <c r="V10" s="162" t="s">
        <v>29</v>
      </c>
      <c r="W10" s="152"/>
    </row>
    <row r="11" spans="1:23" s="155" customFormat="1" ht="33.75" customHeight="1" x14ac:dyDescent="0.35">
      <c r="A11" s="151">
        <v>4</v>
      </c>
      <c r="B11" s="153"/>
      <c r="C11" s="154"/>
      <c r="D11" s="162" t="s">
        <v>65</v>
      </c>
      <c r="E11" s="162" t="s">
        <v>66</v>
      </c>
      <c r="F11" s="162">
        <v>62</v>
      </c>
      <c r="G11" s="162" t="s">
        <v>43</v>
      </c>
      <c r="H11" s="162" t="s">
        <v>49</v>
      </c>
      <c r="I11" s="162" t="s">
        <v>42</v>
      </c>
      <c r="M11" s="162" t="s">
        <v>35</v>
      </c>
      <c r="N11" s="162" t="s">
        <v>27</v>
      </c>
      <c r="O11" s="162"/>
      <c r="P11" s="163">
        <v>1533000</v>
      </c>
      <c r="Q11" s="163">
        <v>5</v>
      </c>
      <c r="R11" s="163">
        <v>7665000</v>
      </c>
      <c r="S11" s="162">
        <v>187974536</v>
      </c>
      <c r="T11" s="164" t="s">
        <v>67</v>
      </c>
      <c r="U11" s="162" t="s">
        <v>68</v>
      </c>
      <c r="V11" s="162" t="s">
        <v>29</v>
      </c>
      <c r="W11" s="152"/>
    </row>
    <row r="12" spans="1:23" s="9" customFormat="1" ht="33.75" customHeight="1" x14ac:dyDescent="0.35">
      <c r="A12" s="6">
        <v>5</v>
      </c>
      <c r="B12" s="7"/>
      <c r="C12" s="8"/>
      <c r="D12" s="165" t="s">
        <v>69</v>
      </c>
      <c r="E12" s="165" t="s">
        <v>70</v>
      </c>
      <c r="F12" s="165">
        <v>62</v>
      </c>
      <c r="G12" s="165" t="s">
        <v>43</v>
      </c>
      <c r="H12" s="165" t="s">
        <v>49</v>
      </c>
      <c r="I12" s="165" t="s">
        <v>42</v>
      </c>
      <c r="M12" s="165" t="s">
        <v>35</v>
      </c>
      <c r="N12" s="165" t="s">
        <v>27</v>
      </c>
      <c r="O12" s="165"/>
      <c r="P12" s="166">
        <v>1533000</v>
      </c>
      <c r="Q12" s="166">
        <v>5</v>
      </c>
      <c r="R12" s="166">
        <v>7665000</v>
      </c>
      <c r="S12" s="165">
        <v>187880642</v>
      </c>
      <c r="T12" s="167" t="s">
        <v>71</v>
      </c>
      <c r="U12" s="165" t="s">
        <v>72</v>
      </c>
      <c r="V12" s="165" t="s">
        <v>29</v>
      </c>
      <c r="W12" s="6"/>
    </row>
    <row r="13" spans="1:23" s="155" customFormat="1" ht="33.75" customHeight="1" x14ac:dyDescent="0.35">
      <c r="A13" s="151">
        <v>6</v>
      </c>
      <c r="B13" s="153"/>
      <c r="C13" s="154"/>
      <c r="D13" s="162" t="s">
        <v>73</v>
      </c>
      <c r="E13" s="162" t="s">
        <v>74</v>
      </c>
      <c r="F13" s="162">
        <v>62</v>
      </c>
      <c r="G13" s="162" t="s">
        <v>43</v>
      </c>
      <c r="H13" s="162" t="s">
        <v>49</v>
      </c>
      <c r="I13" s="162" t="s">
        <v>42</v>
      </c>
      <c r="M13" s="162" t="s">
        <v>35</v>
      </c>
      <c r="N13" s="162" t="s">
        <v>27</v>
      </c>
      <c r="O13" s="162"/>
      <c r="P13" s="163">
        <v>1533000</v>
      </c>
      <c r="Q13" s="163">
        <v>5</v>
      </c>
      <c r="R13" s="163">
        <v>7665000</v>
      </c>
      <c r="S13" s="162">
        <v>184474973</v>
      </c>
      <c r="T13" s="164" t="s">
        <v>75</v>
      </c>
      <c r="U13" s="162" t="s">
        <v>76</v>
      </c>
      <c r="V13" s="162" t="s">
        <v>29</v>
      </c>
      <c r="W13" s="152"/>
    </row>
    <row r="14" spans="1:23" s="155" customFormat="1" ht="33.75" customHeight="1" x14ac:dyDescent="0.35">
      <c r="A14" s="151">
        <v>7</v>
      </c>
      <c r="B14" s="153"/>
      <c r="C14" s="154"/>
      <c r="D14" s="162" t="s">
        <v>77</v>
      </c>
      <c r="E14" s="162" t="s">
        <v>78</v>
      </c>
      <c r="F14" s="162">
        <v>62</v>
      </c>
      <c r="G14" s="162" t="s">
        <v>43</v>
      </c>
      <c r="H14" s="162" t="s">
        <v>49</v>
      </c>
      <c r="I14" s="162" t="s">
        <v>42</v>
      </c>
      <c r="M14" s="162" t="s">
        <v>35</v>
      </c>
      <c r="N14" s="162" t="s">
        <v>27</v>
      </c>
      <c r="O14" s="162"/>
      <c r="P14" s="163">
        <v>1533000</v>
      </c>
      <c r="Q14" s="163">
        <v>5</v>
      </c>
      <c r="R14" s="163">
        <v>7665000</v>
      </c>
      <c r="S14" s="162" t="s">
        <v>79</v>
      </c>
      <c r="T14" s="164" t="s">
        <v>80</v>
      </c>
      <c r="U14" s="162" t="s">
        <v>81</v>
      </c>
      <c r="V14" s="162" t="s">
        <v>29</v>
      </c>
      <c r="W14" s="152"/>
    </row>
    <row r="15" spans="1:23" s="9" customFormat="1" ht="33.75" customHeight="1" x14ac:dyDescent="0.35">
      <c r="A15" s="6">
        <v>8</v>
      </c>
      <c r="B15" s="7"/>
      <c r="C15" s="8"/>
      <c r="D15" s="160" t="s">
        <v>82</v>
      </c>
      <c r="E15" s="165" t="s">
        <v>83</v>
      </c>
      <c r="F15" s="165">
        <v>62</v>
      </c>
      <c r="G15" s="165" t="s">
        <v>84</v>
      </c>
      <c r="H15" s="165" t="s">
        <v>49</v>
      </c>
      <c r="I15" s="165" t="s">
        <v>42</v>
      </c>
      <c r="M15" s="165" t="s">
        <v>33</v>
      </c>
      <c r="N15" s="165" t="s">
        <v>34</v>
      </c>
      <c r="O15" s="165" t="s">
        <v>28</v>
      </c>
      <c r="P15" s="166">
        <v>1073100</v>
      </c>
      <c r="Q15" s="166">
        <v>5</v>
      </c>
      <c r="R15" s="166">
        <v>5365500</v>
      </c>
      <c r="S15" s="160" t="s">
        <v>85</v>
      </c>
      <c r="T15" s="168" t="s">
        <v>86</v>
      </c>
      <c r="U15" s="160" t="s">
        <v>87</v>
      </c>
      <c r="V15" s="165" t="s">
        <v>29</v>
      </c>
      <c r="W15" s="6"/>
    </row>
    <row r="16" spans="1:23" s="9" customFormat="1" ht="33.75" customHeight="1" x14ac:dyDescent="0.35">
      <c r="A16" s="6">
        <v>9</v>
      </c>
      <c r="B16" s="7"/>
      <c r="C16" s="8"/>
      <c r="D16" s="160" t="s">
        <v>88</v>
      </c>
      <c r="E16" s="165" t="s">
        <v>89</v>
      </c>
      <c r="F16" s="165">
        <v>62</v>
      </c>
      <c r="G16" s="165" t="s">
        <v>90</v>
      </c>
      <c r="H16" s="165" t="s">
        <v>49</v>
      </c>
      <c r="I16" s="165" t="s">
        <v>42</v>
      </c>
      <c r="M16" s="165" t="s">
        <v>30</v>
      </c>
      <c r="N16" s="165" t="s">
        <v>31</v>
      </c>
      <c r="O16" s="165"/>
      <c r="P16" s="166">
        <v>766500</v>
      </c>
      <c r="Q16" s="166">
        <v>5</v>
      </c>
      <c r="R16" s="166">
        <v>3832500</v>
      </c>
      <c r="S16" s="160" t="s">
        <v>91</v>
      </c>
      <c r="T16" s="168" t="s">
        <v>92</v>
      </c>
      <c r="U16" s="160" t="s">
        <v>92</v>
      </c>
      <c r="V16" s="165" t="s">
        <v>29</v>
      </c>
      <c r="W16" s="6"/>
    </row>
    <row r="17" spans="1:23" s="155" customFormat="1" ht="33.75" customHeight="1" x14ac:dyDescent="0.35">
      <c r="A17" s="151">
        <v>10</v>
      </c>
      <c r="B17" s="153"/>
      <c r="C17" s="154"/>
      <c r="D17" s="169" t="s">
        <v>93</v>
      </c>
      <c r="E17" s="162" t="s">
        <v>94</v>
      </c>
      <c r="F17" s="162">
        <v>62</v>
      </c>
      <c r="G17" s="162" t="s">
        <v>43</v>
      </c>
      <c r="H17" s="162" t="s">
        <v>49</v>
      </c>
      <c r="I17" s="162" t="s">
        <v>42</v>
      </c>
      <c r="M17" s="162" t="s">
        <v>35</v>
      </c>
      <c r="N17" s="162" t="s">
        <v>27</v>
      </c>
      <c r="O17" s="162"/>
      <c r="P17" s="163">
        <v>1533000</v>
      </c>
      <c r="Q17" s="163">
        <v>5</v>
      </c>
      <c r="R17" s="163">
        <v>7665000</v>
      </c>
      <c r="S17" s="169" t="s">
        <v>95</v>
      </c>
      <c r="T17" s="170" t="s">
        <v>96</v>
      </c>
      <c r="U17" s="169" t="s">
        <v>97</v>
      </c>
      <c r="V17" s="162" t="s">
        <v>29</v>
      </c>
      <c r="W17" s="152"/>
    </row>
    <row r="18" spans="1:23" s="9" customFormat="1" ht="33.75" customHeight="1" x14ac:dyDescent="0.35">
      <c r="A18" s="6">
        <v>11</v>
      </c>
      <c r="B18" s="7"/>
      <c r="C18" s="8"/>
      <c r="D18" s="160" t="s">
        <v>98</v>
      </c>
      <c r="E18" s="165" t="s">
        <v>99</v>
      </c>
      <c r="F18" s="165">
        <v>63</v>
      </c>
      <c r="G18" s="165" t="s">
        <v>44</v>
      </c>
      <c r="H18" s="165" t="s">
        <v>49</v>
      </c>
      <c r="I18" s="165" t="s">
        <v>42</v>
      </c>
      <c r="M18" s="165" t="s">
        <v>35</v>
      </c>
      <c r="N18" s="165" t="s">
        <v>27</v>
      </c>
      <c r="O18" s="165"/>
      <c r="P18" s="166">
        <v>1533000</v>
      </c>
      <c r="Q18" s="166">
        <v>5</v>
      </c>
      <c r="R18" s="166">
        <v>7665000</v>
      </c>
      <c r="S18" s="165" t="s">
        <v>100</v>
      </c>
      <c r="T18" s="167" t="s">
        <v>101</v>
      </c>
      <c r="U18" s="160" t="s">
        <v>102</v>
      </c>
      <c r="V18" s="165" t="s">
        <v>29</v>
      </c>
      <c r="W18" s="6"/>
    </row>
    <row r="19" spans="1:23" s="9" customFormat="1" ht="33.75" customHeight="1" x14ac:dyDescent="0.35">
      <c r="A19" s="6">
        <v>12</v>
      </c>
      <c r="B19" s="7"/>
      <c r="C19" s="8"/>
      <c r="D19" s="165" t="s">
        <v>103</v>
      </c>
      <c r="E19" s="165" t="s">
        <v>104</v>
      </c>
      <c r="F19" s="165">
        <v>63</v>
      </c>
      <c r="G19" s="165" t="s">
        <v>44</v>
      </c>
      <c r="H19" s="165" t="s">
        <v>49</v>
      </c>
      <c r="I19" s="165" t="s">
        <v>42</v>
      </c>
      <c r="M19" s="165" t="s">
        <v>32</v>
      </c>
      <c r="N19" s="165" t="s">
        <v>27</v>
      </c>
      <c r="O19" s="165"/>
      <c r="P19" s="166">
        <v>1533000</v>
      </c>
      <c r="Q19" s="166">
        <v>5</v>
      </c>
      <c r="R19" s="166">
        <v>7665000</v>
      </c>
      <c r="S19" s="165" t="s">
        <v>105</v>
      </c>
      <c r="T19" s="167" t="s">
        <v>106</v>
      </c>
      <c r="U19" s="165" t="s">
        <v>107</v>
      </c>
      <c r="V19" s="165" t="s">
        <v>29</v>
      </c>
      <c r="W19" s="6"/>
    </row>
    <row r="20" spans="1:23" s="9" customFormat="1" ht="33.75" customHeight="1" x14ac:dyDescent="0.35">
      <c r="A20" s="6">
        <v>13</v>
      </c>
      <c r="B20" s="7"/>
      <c r="C20" s="8"/>
      <c r="D20" s="165" t="s">
        <v>108</v>
      </c>
      <c r="E20" s="165" t="s">
        <v>109</v>
      </c>
      <c r="F20" s="165">
        <v>63</v>
      </c>
      <c r="G20" s="165" t="s">
        <v>45</v>
      </c>
      <c r="H20" s="165" t="s">
        <v>49</v>
      </c>
      <c r="I20" s="165" t="s">
        <v>42</v>
      </c>
      <c r="M20" s="165" t="s">
        <v>35</v>
      </c>
      <c r="N20" s="165" t="s">
        <v>27</v>
      </c>
      <c r="O20" s="165"/>
      <c r="P20" s="166">
        <v>1533000</v>
      </c>
      <c r="Q20" s="166">
        <v>5</v>
      </c>
      <c r="R20" s="166">
        <v>7665000</v>
      </c>
      <c r="S20" s="165" t="s">
        <v>110</v>
      </c>
      <c r="T20" s="167" t="s">
        <v>111</v>
      </c>
      <c r="U20" s="165" t="s">
        <v>112</v>
      </c>
      <c r="V20" s="165" t="s">
        <v>29</v>
      </c>
      <c r="W20" s="6"/>
    </row>
    <row r="21" spans="1:23" s="9" customFormat="1" ht="33.75" customHeight="1" x14ac:dyDescent="0.35">
      <c r="A21" s="6">
        <v>14</v>
      </c>
      <c r="B21" s="7"/>
      <c r="C21" s="8"/>
      <c r="D21" s="165" t="s">
        <v>113</v>
      </c>
      <c r="E21" s="165" t="s">
        <v>114</v>
      </c>
      <c r="F21" s="165">
        <v>63</v>
      </c>
      <c r="G21" s="165" t="s">
        <v>45</v>
      </c>
      <c r="H21" s="165" t="s">
        <v>49</v>
      </c>
      <c r="I21" s="165" t="s">
        <v>42</v>
      </c>
      <c r="M21" s="165" t="s">
        <v>33</v>
      </c>
      <c r="N21" s="165" t="s">
        <v>34</v>
      </c>
      <c r="O21" s="165" t="s">
        <v>28</v>
      </c>
      <c r="P21" s="166">
        <v>1073100</v>
      </c>
      <c r="Q21" s="166">
        <v>5</v>
      </c>
      <c r="R21" s="166">
        <v>5365500</v>
      </c>
      <c r="S21" s="165" t="s">
        <v>115</v>
      </c>
      <c r="T21" s="167" t="s">
        <v>116</v>
      </c>
      <c r="U21" s="165" t="s">
        <v>117</v>
      </c>
      <c r="V21" s="165" t="s">
        <v>29</v>
      </c>
      <c r="W21" s="6"/>
    </row>
    <row r="22" spans="1:23" s="9" customFormat="1" ht="33.75" customHeight="1" x14ac:dyDescent="0.35">
      <c r="A22" s="6">
        <v>15</v>
      </c>
      <c r="B22" s="7"/>
      <c r="C22" s="8"/>
      <c r="D22" s="165" t="s">
        <v>118</v>
      </c>
      <c r="E22" s="165" t="s">
        <v>119</v>
      </c>
      <c r="F22" s="165">
        <v>63</v>
      </c>
      <c r="G22" s="165" t="s">
        <v>120</v>
      </c>
      <c r="H22" s="165" t="s">
        <v>49</v>
      </c>
      <c r="I22" s="165" t="s">
        <v>42</v>
      </c>
      <c r="M22" s="165" t="s">
        <v>35</v>
      </c>
      <c r="N22" s="165" t="s">
        <v>27</v>
      </c>
      <c r="O22" s="165"/>
      <c r="P22" s="166">
        <v>1533000</v>
      </c>
      <c r="Q22" s="166">
        <v>5</v>
      </c>
      <c r="R22" s="166">
        <v>7665000</v>
      </c>
      <c r="S22" s="165" t="s">
        <v>121</v>
      </c>
      <c r="T22" s="167" t="s">
        <v>122</v>
      </c>
      <c r="U22" s="165" t="s">
        <v>123</v>
      </c>
      <c r="V22" s="165" t="s">
        <v>29</v>
      </c>
      <c r="W22" s="6"/>
    </row>
    <row r="23" spans="1:23" s="9" customFormat="1" ht="33.75" customHeight="1" x14ac:dyDescent="0.35">
      <c r="A23" s="6">
        <v>16</v>
      </c>
      <c r="B23" s="7"/>
      <c r="C23" s="8"/>
      <c r="D23" s="165" t="s">
        <v>124</v>
      </c>
      <c r="E23" s="165" t="s">
        <v>125</v>
      </c>
      <c r="F23" s="165">
        <v>63</v>
      </c>
      <c r="G23" s="165" t="s">
        <v>126</v>
      </c>
      <c r="H23" s="165" t="s">
        <v>49</v>
      </c>
      <c r="I23" s="165" t="s">
        <v>42</v>
      </c>
      <c r="M23" s="165" t="s">
        <v>32</v>
      </c>
      <c r="N23" s="165" t="s">
        <v>27</v>
      </c>
      <c r="O23" s="165"/>
      <c r="P23" s="166">
        <v>1533000</v>
      </c>
      <c r="Q23" s="166">
        <v>5</v>
      </c>
      <c r="R23" s="166">
        <v>7665000</v>
      </c>
      <c r="S23" s="165" t="s">
        <v>127</v>
      </c>
      <c r="T23" s="167" t="s">
        <v>128</v>
      </c>
      <c r="U23" s="165" t="s">
        <v>129</v>
      </c>
      <c r="V23" s="165" t="s">
        <v>29</v>
      </c>
      <c r="W23" s="6"/>
    </row>
    <row r="24" spans="1:23" s="9" customFormat="1" ht="33.75" customHeight="1" x14ac:dyDescent="0.35">
      <c r="A24" s="6">
        <v>17</v>
      </c>
      <c r="B24" s="7"/>
      <c r="C24" s="8"/>
      <c r="D24" s="165" t="s">
        <v>130</v>
      </c>
      <c r="E24" s="165" t="s">
        <v>131</v>
      </c>
      <c r="F24" s="165">
        <v>63</v>
      </c>
      <c r="G24" s="165" t="s">
        <v>126</v>
      </c>
      <c r="H24" s="165" t="s">
        <v>49</v>
      </c>
      <c r="I24" s="165" t="s">
        <v>42</v>
      </c>
      <c r="M24" s="165" t="s">
        <v>30</v>
      </c>
      <c r="N24" s="165" t="s">
        <v>31</v>
      </c>
      <c r="O24" s="165"/>
      <c r="P24" s="166">
        <v>766500</v>
      </c>
      <c r="Q24" s="166">
        <v>5</v>
      </c>
      <c r="R24" s="166">
        <v>3832500</v>
      </c>
      <c r="S24" s="165" t="s">
        <v>132</v>
      </c>
      <c r="T24" s="167" t="s">
        <v>133</v>
      </c>
      <c r="U24" s="160" t="s">
        <v>134</v>
      </c>
      <c r="V24" s="165" t="s">
        <v>29</v>
      </c>
      <c r="W24" s="6"/>
    </row>
    <row r="25" spans="1:23" s="9" customFormat="1" ht="33.75" customHeight="1" x14ac:dyDescent="0.35">
      <c r="A25" s="6">
        <v>18</v>
      </c>
      <c r="B25" s="7"/>
      <c r="C25" s="8"/>
      <c r="D25" s="165" t="s">
        <v>135</v>
      </c>
      <c r="E25" s="165" t="s">
        <v>136</v>
      </c>
      <c r="F25" s="165">
        <v>63</v>
      </c>
      <c r="G25" s="165" t="s">
        <v>126</v>
      </c>
      <c r="H25" s="165" t="s">
        <v>49</v>
      </c>
      <c r="I25" s="165" t="s">
        <v>42</v>
      </c>
      <c r="M25" s="162" t="s">
        <v>26</v>
      </c>
      <c r="N25" s="165" t="s">
        <v>27</v>
      </c>
      <c r="O25" s="165" t="s">
        <v>28</v>
      </c>
      <c r="P25" s="166">
        <v>1533000</v>
      </c>
      <c r="Q25" s="166">
        <v>5</v>
      </c>
      <c r="R25" s="166">
        <v>7665000</v>
      </c>
      <c r="S25" s="165" t="s">
        <v>137</v>
      </c>
      <c r="T25" s="167" t="s">
        <v>138</v>
      </c>
      <c r="U25" s="165" t="s">
        <v>139</v>
      </c>
      <c r="V25" s="165" t="s">
        <v>29</v>
      </c>
      <c r="W25" s="6"/>
    </row>
    <row r="26" spans="1:23" s="9" customFormat="1" ht="33.75" customHeight="1" x14ac:dyDescent="0.35">
      <c r="A26" s="6">
        <v>19</v>
      </c>
      <c r="B26" s="7"/>
      <c r="C26" s="8"/>
      <c r="D26" s="165" t="s">
        <v>140</v>
      </c>
      <c r="E26" s="165" t="s">
        <v>141</v>
      </c>
      <c r="F26" s="165">
        <v>63</v>
      </c>
      <c r="G26" s="165" t="s">
        <v>142</v>
      </c>
      <c r="H26" s="165" t="s">
        <v>49</v>
      </c>
      <c r="I26" s="165" t="s">
        <v>42</v>
      </c>
      <c r="M26" s="162" t="s">
        <v>35</v>
      </c>
      <c r="N26" s="165" t="s">
        <v>27</v>
      </c>
      <c r="O26" s="165"/>
      <c r="P26" s="166">
        <v>1533000</v>
      </c>
      <c r="Q26" s="166">
        <v>5</v>
      </c>
      <c r="R26" s="166">
        <v>7665000</v>
      </c>
      <c r="S26" s="165" t="s">
        <v>143</v>
      </c>
      <c r="T26" s="167" t="s">
        <v>144</v>
      </c>
      <c r="U26" s="160" t="s">
        <v>145</v>
      </c>
      <c r="V26" s="165" t="s">
        <v>29</v>
      </c>
      <c r="W26" s="6"/>
    </row>
    <row r="27" spans="1:23" s="9" customFormat="1" ht="33.75" customHeight="1" x14ac:dyDescent="0.35">
      <c r="A27" s="6">
        <v>20</v>
      </c>
      <c r="B27" s="7"/>
      <c r="C27" s="8"/>
      <c r="D27" s="160" t="s">
        <v>146</v>
      </c>
      <c r="E27" s="165" t="s">
        <v>147</v>
      </c>
      <c r="F27" s="165">
        <v>63</v>
      </c>
      <c r="G27" s="165" t="s">
        <v>44</v>
      </c>
      <c r="H27" s="165" t="s">
        <v>49</v>
      </c>
      <c r="I27" s="165" t="s">
        <v>42</v>
      </c>
      <c r="M27" s="162" t="s">
        <v>26</v>
      </c>
      <c r="N27" s="165" t="s">
        <v>27</v>
      </c>
      <c r="O27" s="165" t="s">
        <v>28</v>
      </c>
      <c r="P27" s="166">
        <v>1533000</v>
      </c>
      <c r="Q27" s="166">
        <v>5</v>
      </c>
      <c r="R27" s="166">
        <v>7665000</v>
      </c>
      <c r="S27" s="160" t="s">
        <v>148</v>
      </c>
      <c r="T27" s="168" t="s">
        <v>149</v>
      </c>
      <c r="U27" s="165" t="s">
        <v>150</v>
      </c>
      <c r="V27" s="165" t="s">
        <v>29</v>
      </c>
      <c r="W27" s="6"/>
    </row>
    <row r="28" spans="1:23" s="9" customFormat="1" ht="33.75" customHeight="1" x14ac:dyDescent="0.35">
      <c r="A28" s="6">
        <v>21</v>
      </c>
      <c r="B28" s="7"/>
      <c r="C28" s="8"/>
      <c r="D28" s="160" t="s">
        <v>151</v>
      </c>
      <c r="E28" s="165" t="s">
        <v>152</v>
      </c>
      <c r="F28" s="165">
        <v>64</v>
      </c>
      <c r="G28" s="165" t="s">
        <v>153</v>
      </c>
      <c r="H28" s="165" t="s">
        <v>49</v>
      </c>
      <c r="I28" s="165" t="s">
        <v>42</v>
      </c>
      <c r="M28" s="165" t="s">
        <v>35</v>
      </c>
      <c r="N28" s="165" t="s">
        <v>27</v>
      </c>
      <c r="O28" s="165"/>
      <c r="P28" s="166">
        <v>1533000</v>
      </c>
      <c r="Q28" s="166">
        <v>5</v>
      </c>
      <c r="R28" s="166">
        <v>7665000</v>
      </c>
      <c r="S28" s="160" t="s">
        <v>154</v>
      </c>
      <c r="T28" s="168" t="s">
        <v>155</v>
      </c>
      <c r="U28" s="165" t="s">
        <v>156</v>
      </c>
      <c r="V28" s="165" t="s">
        <v>36</v>
      </c>
      <c r="W28" s="6"/>
    </row>
    <row r="29" spans="1:23" s="9" customFormat="1" ht="33.75" customHeight="1" x14ac:dyDescent="0.35">
      <c r="A29" s="6">
        <v>22</v>
      </c>
      <c r="B29" s="7"/>
      <c r="C29" s="8"/>
      <c r="D29" s="160" t="s">
        <v>157</v>
      </c>
      <c r="E29" s="165" t="s">
        <v>158</v>
      </c>
      <c r="F29" s="165">
        <v>64</v>
      </c>
      <c r="G29" s="165" t="s">
        <v>46</v>
      </c>
      <c r="H29" s="165" t="s">
        <v>49</v>
      </c>
      <c r="I29" s="165" t="s">
        <v>42</v>
      </c>
      <c r="M29" s="165" t="s">
        <v>35</v>
      </c>
      <c r="N29" s="165" t="s">
        <v>27</v>
      </c>
      <c r="O29" s="165"/>
      <c r="P29" s="166">
        <v>1533000</v>
      </c>
      <c r="Q29" s="166">
        <v>5</v>
      </c>
      <c r="R29" s="166">
        <v>7665000</v>
      </c>
      <c r="S29" s="160" t="s">
        <v>159</v>
      </c>
      <c r="T29" s="168" t="s">
        <v>160</v>
      </c>
      <c r="U29" s="165" t="s">
        <v>161</v>
      </c>
      <c r="V29" s="165" t="s">
        <v>36</v>
      </c>
      <c r="W29" s="6"/>
    </row>
    <row r="30" spans="1:23" s="9" customFormat="1" ht="33.75" customHeight="1" x14ac:dyDescent="0.35">
      <c r="A30" s="6">
        <v>23</v>
      </c>
      <c r="B30" s="7"/>
      <c r="C30" s="8"/>
      <c r="D30" s="160" t="s">
        <v>162</v>
      </c>
      <c r="E30" s="165" t="s">
        <v>163</v>
      </c>
      <c r="F30" s="165">
        <v>64</v>
      </c>
      <c r="G30" s="165" t="s">
        <v>164</v>
      </c>
      <c r="H30" s="165" t="s">
        <v>49</v>
      </c>
      <c r="I30" s="165" t="s">
        <v>42</v>
      </c>
      <c r="M30" s="165" t="s">
        <v>33</v>
      </c>
      <c r="N30" s="165" t="s">
        <v>34</v>
      </c>
      <c r="O30" s="165" t="s">
        <v>28</v>
      </c>
      <c r="P30" s="166">
        <v>1073100</v>
      </c>
      <c r="Q30" s="166">
        <v>5</v>
      </c>
      <c r="R30" s="166">
        <v>5365500</v>
      </c>
      <c r="S30" s="160" t="s">
        <v>165</v>
      </c>
      <c r="T30" s="168" t="s">
        <v>166</v>
      </c>
      <c r="U30" s="165" t="s">
        <v>167</v>
      </c>
      <c r="V30" s="165" t="s">
        <v>36</v>
      </c>
      <c r="W30" s="6"/>
    </row>
    <row r="31" spans="1:23" s="9" customFormat="1" ht="33.75" customHeight="1" x14ac:dyDescent="0.35">
      <c r="A31" s="6">
        <v>24</v>
      </c>
      <c r="B31" s="7"/>
      <c r="C31" s="8"/>
      <c r="D31" s="160" t="s">
        <v>168</v>
      </c>
      <c r="E31" s="165" t="s">
        <v>169</v>
      </c>
      <c r="F31" s="165">
        <v>64</v>
      </c>
      <c r="G31" s="165" t="s">
        <v>164</v>
      </c>
      <c r="H31" s="165" t="s">
        <v>49</v>
      </c>
      <c r="I31" s="165" t="s">
        <v>42</v>
      </c>
      <c r="M31" s="165" t="s">
        <v>35</v>
      </c>
      <c r="N31" s="165" t="s">
        <v>27</v>
      </c>
      <c r="O31" s="165"/>
      <c r="P31" s="166">
        <v>1533000</v>
      </c>
      <c r="Q31" s="166">
        <v>5</v>
      </c>
      <c r="R31" s="166">
        <v>7665000</v>
      </c>
      <c r="S31" s="160" t="s">
        <v>170</v>
      </c>
      <c r="T31" s="168" t="s">
        <v>171</v>
      </c>
      <c r="U31" s="165" t="s">
        <v>172</v>
      </c>
      <c r="V31" s="165" t="s">
        <v>36</v>
      </c>
      <c r="W31" s="6"/>
    </row>
    <row r="32" spans="1:23" s="9" customFormat="1" ht="33.75" customHeight="1" x14ac:dyDescent="0.35">
      <c r="A32" s="6">
        <v>25</v>
      </c>
      <c r="B32" s="7"/>
      <c r="C32" s="8"/>
      <c r="D32" s="160" t="s">
        <v>173</v>
      </c>
      <c r="E32" s="160" t="s">
        <v>174</v>
      </c>
      <c r="F32" s="165">
        <v>64</v>
      </c>
      <c r="G32" s="165" t="s">
        <v>46</v>
      </c>
      <c r="H32" s="165" t="s">
        <v>49</v>
      </c>
      <c r="I32" s="165" t="s">
        <v>42</v>
      </c>
      <c r="M32" s="165" t="s">
        <v>35</v>
      </c>
      <c r="N32" s="165" t="s">
        <v>27</v>
      </c>
      <c r="O32" s="165"/>
      <c r="P32" s="166">
        <v>1533000</v>
      </c>
      <c r="Q32" s="166">
        <v>5</v>
      </c>
      <c r="R32" s="166">
        <v>7665000</v>
      </c>
      <c r="S32" s="160" t="s">
        <v>175</v>
      </c>
      <c r="T32" s="168" t="s">
        <v>176</v>
      </c>
      <c r="U32" s="165" t="s">
        <v>177</v>
      </c>
      <c r="V32" s="165" t="s">
        <v>36</v>
      </c>
      <c r="W32" s="6"/>
    </row>
    <row r="33" spans="1:23" s="9" customFormat="1" ht="33.75" customHeight="1" x14ac:dyDescent="0.35">
      <c r="A33" s="6">
        <v>26</v>
      </c>
      <c r="B33" s="7"/>
      <c r="C33" s="8"/>
      <c r="D33" s="160" t="s">
        <v>178</v>
      </c>
      <c r="E33" s="165" t="s">
        <v>179</v>
      </c>
      <c r="F33" s="165">
        <v>64</v>
      </c>
      <c r="G33" s="165" t="s">
        <v>180</v>
      </c>
      <c r="H33" s="165" t="s">
        <v>49</v>
      </c>
      <c r="I33" s="165" t="s">
        <v>42</v>
      </c>
      <c r="M33" s="165" t="s">
        <v>35</v>
      </c>
      <c r="N33" s="165" t="s">
        <v>27</v>
      </c>
      <c r="O33" s="165"/>
      <c r="P33" s="166">
        <v>1533000</v>
      </c>
      <c r="Q33" s="166">
        <v>5</v>
      </c>
      <c r="R33" s="166">
        <v>7665000</v>
      </c>
      <c r="S33" s="160" t="s">
        <v>181</v>
      </c>
      <c r="T33" s="168" t="s">
        <v>182</v>
      </c>
      <c r="U33" s="165" t="s">
        <v>183</v>
      </c>
      <c r="V33" s="165" t="s">
        <v>36</v>
      </c>
      <c r="W33" s="6"/>
    </row>
    <row r="34" spans="1:23" s="9" customFormat="1" ht="33.75" customHeight="1" x14ac:dyDescent="0.35">
      <c r="A34" s="6">
        <v>27</v>
      </c>
      <c r="B34" s="7"/>
      <c r="C34" s="8"/>
      <c r="D34" s="160" t="s">
        <v>184</v>
      </c>
      <c r="E34" s="165" t="s">
        <v>185</v>
      </c>
      <c r="F34" s="165">
        <v>64</v>
      </c>
      <c r="G34" s="165" t="s">
        <v>180</v>
      </c>
      <c r="H34" s="165" t="s">
        <v>49</v>
      </c>
      <c r="I34" s="165" t="s">
        <v>42</v>
      </c>
      <c r="M34" s="165" t="s">
        <v>30</v>
      </c>
      <c r="N34" s="165" t="s">
        <v>31</v>
      </c>
      <c r="O34" s="165"/>
      <c r="P34" s="166">
        <v>766500</v>
      </c>
      <c r="Q34" s="166">
        <v>5</v>
      </c>
      <c r="R34" s="166">
        <v>3832500</v>
      </c>
      <c r="S34" s="160" t="s">
        <v>186</v>
      </c>
      <c r="T34" s="168" t="s">
        <v>187</v>
      </c>
      <c r="U34" s="165" t="s">
        <v>188</v>
      </c>
      <c r="V34" s="165" t="s">
        <v>36</v>
      </c>
      <c r="W34" s="6"/>
    </row>
    <row r="35" spans="1:23" s="9" customFormat="1" ht="33.75" customHeight="1" x14ac:dyDescent="0.35">
      <c r="A35" s="6">
        <v>28</v>
      </c>
      <c r="B35" s="7"/>
      <c r="C35" s="8"/>
      <c r="D35" s="160" t="s">
        <v>189</v>
      </c>
      <c r="E35" s="165" t="s">
        <v>190</v>
      </c>
      <c r="F35" s="165">
        <v>64</v>
      </c>
      <c r="G35" s="165" t="s">
        <v>191</v>
      </c>
      <c r="H35" s="165" t="s">
        <v>49</v>
      </c>
      <c r="I35" s="165" t="s">
        <v>42</v>
      </c>
      <c r="M35" s="165" t="s">
        <v>35</v>
      </c>
      <c r="N35" s="165" t="s">
        <v>27</v>
      </c>
      <c r="O35" s="165"/>
      <c r="P35" s="166">
        <v>1533000</v>
      </c>
      <c r="Q35" s="166">
        <v>5</v>
      </c>
      <c r="R35" s="166">
        <v>7665000</v>
      </c>
      <c r="S35" s="160" t="s">
        <v>192</v>
      </c>
      <c r="T35" s="168" t="s">
        <v>193</v>
      </c>
      <c r="U35" s="165" t="s">
        <v>194</v>
      </c>
      <c r="V35" s="165" t="s">
        <v>36</v>
      </c>
      <c r="W35" s="6"/>
    </row>
    <row r="36" spans="1:23" s="9" customFormat="1" ht="33.75" customHeight="1" x14ac:dyDescent="0.35">
      <c r="A36" s="6">
        <v>29</v>
      </c>
      <c r="B36" s="7"/>
      <c r="C36" s="8"/>
      <c r="D36" s="160" t="s">
        <v>195</v>
      </c>
      <c r="E36" s="165" t="s">
        <v>40</v>
      </c>
      <c r="F36" s="165">
        <v>64</v>
      </c>
      <c r="G36" s="165" t="s">
        <v>191</v>
      </c>
      <c r="H36" s="165" t="s">
        <v>49</v>
      </c>
      <c r="I36" s="165" t="s">
        <v>42</v>
      </c>
      <c r="M36" s="162" t="s">
        <v>26</v>
      </c>
      <c r="N36" s="165" t="s">
        <v>27</v>
      </c>
      <c r="O36" s="165" t="s">
        <v>28</v>
      </c>
      <c r="P36" s="166">
        <v>1533000</v>
      </c>
      <c r="Q36" s="166">
        <v>5</v>
      </c>
      <c r="R36" s="166">
        <v>7665000</v>
      </c>
      <c r="S36" s="160" t="s">
        <v>196</v>
      </c>
      <c r="T36" s="168" t="s">
        <v>197</v>
      </c>
      <c r="U36" s="165" t="s">
        <v>198</v>
      </c>
      <c r="V36" s="165" t="s">
        <v>36</v>
      </c>
      <c r="W36" s="6"/>
    </row>
    <row r="37" spans="1:23" s="9" customFormat="1" ht="33.75" customHeight="1" x14ac:dyDescent="0.35">
      <c r="A37" s="6">
        <v>30</v>
      </c>
      <c r="B37" s="7"/>
      <c r="C37" s="8"/>
      <c r="D37" s="161" t="s">
        <v>199</v>
      </c>
      <c r="E37" s="165" t="s">
        <v>200</v>
      </c>
      <c r="F37" s="165">
        <v>65</v>
      </c>
      <c r="G37" s="165" t="s">
        <v>41</v>
      </c>
      <c r="H37" s="165" t="s">
        <v>49</v>
      </c>
      <c r="I37" s="165" t="s">
        <v>42</v>
      </c>
      <c r="M37" s="162" t="s">
        <v>35</v>
      </c>
      <c r="N37" s="165" t="s">
        <v>27</v>
      </c>
      <c r="O37" s="165"/>
      <c r="P37" s="166">
        <v>1533000</v>
      </c>
      <c r="Q37" s="166">
        <v>5</v>
      </c>
      <c r="R37" s="166">
        <v>7665000</v>
      </c>
      <c r="S37" s="160" t="s">
        <v>201</v>
      </c>
      <c r="T37" s="168" t="s">
        <v>202</v>
      </c>
      <c r="U37" s="160" t="s">
        <v>202</v>
      </c>
      <c r="V37" s="165" t="s">
        <v>39</v>
      </c>
      <c r="W37" s="6"/>
    </row>
    <row r="38" spans="1:23" s="9" customFormat="1" ht="33.75" customHeight="1" x14ac:dyDescent="0.35">
      <c r="A38" s="6">
        <v>31</v>
      </c>
      <c r="B38" s="7"/>
      <c r="C38" s="8"/>
      <c r="D38" s="161" t="s">
        <v>203</v>
      </c>
      <c r="E38" s="165" t="s">
        <v>204</v>
      </c>
      <c r="F38" s="165">
        <v>65</v>
      </c>
      <c r="G38" s="165" t="s">
        <v>41</v>
      </c>
      <c r="H38" s="165" t="s">
        <v>49</v>
      </c>
      <c r="I38" s="165" t="s">
        <v>42</v>
      </c>
      <c r="M38" s="162" t="s">
        <v>26</v>
      </c>
      <c r="N38" s="165" t="s">
        <v>27</v>
      </c>
      <c r="O38" s="165" t="s">
        <v>28</v>
      </c>
      <c r="P38" s="166">
        <v>1533000</v>
      </c>
      <c r="Q38" s="166">
        <v>5</v>
      </c>
      <c r="R38" s="166">
        <v>7665000</v>
      </c>
      <c r="S38" s="165" t="s">
        <v>205</v>
      </c>
      <c r="T38" s="168" t="s">
        <v>206</v>
      </c>
      <c r="U38" s="160" t="s">
        <v>207</v>
      </c>
      <c r="V38" s="165" t="s">
        <v>208</v>
      </c>
      <c r="W38" s="6"/>
    </row>
    <row r="39" spans="1:23" s="9" customFormat="1" ht="33.75" customHeight="1" x14ac:dyDescent="0.35">
      <c r="A39" s="6">
        <v>32</v>
      </c>
      <c r="B39" s="7"/>
      <c r="C39" s="8"/>
      <c r="D39" s="161" t="s">
        <v>209</v>
      </c>
      <c r="E39" s="165" t="s">
        <v>210</v>
      </c>
      <c r="F39" s="165">
        <v>65</v>
      </c>
      <c r="G39" s="165" t="s">
        <v>41</v>
      </c>
      <c r="H39" s="165" t="s">
        <v>49</v>
      </c>
      <c r="I39" s="165" t="s">
        <v>42</v>
      </c>
      <c r="M39" s="165" t="s">
        <v>33</v>
      </c>
      <c r="N39" s="165" t="s">
        <v>34</v>
      </c>
      <c r="O39" s="165" t="s">
        <v>28</v>
      </c>
      <c r="P39" s="166">
        <v>1073100</v>
      </c>
      <c r="Q39" s="166">
        <v>5</v>
      </c>
      <c r="R39" s="166">
        <v>5365500</v>
      </c>
      <c r="S39" s="160" t="s">
        <v>211</v>
      </c>
      <c r="T39" s="168" t="s">
        <v>212</v>
      </c>
      <c r="U39" s="160" t="s">
        <v>213</v>
      </c>
      <c r="V39" s="165" t="s">
        <v>39</v>
      </c>
      <c r="W39" s="6"/>
    </row>
    <row r="40" spans="1:23" s="9" customFormat="1" ht="33.75" customHeight="1" x14ac:dyDescent="0.35">
      <c r="A40" s="6">
        <v>33</v>
      </c>
      <c r="B40" s="7"/>
      <c r="C40" s="8"/>
      <c r="D40" s="161" t="s">
        <v>214</v>
      </c>
      <c r="E40" s="165" t="s">
        <v>215</v>
      </c>
      <c r="F40" s="165">
        <v>65</v>
      </c>
      <c r="G40" s="165" t="s">
        <v>47</v>
      </c>
      <c r="H40" s="165" t="s">
        <v>49</v>
      </c>
      <c r="I40" s="165" t="s">
        <v>42</v>
      </c>
      <c r="M40" s="165" t="s">
        <v>33</v>
      </c>
      <c r="N40" s="165" t="s">
        <v>34</v>
      </c>
      <c r="O40" s="165" t="s">
        <v>28</v>
      </c>
      <c r="P40" s="166">
        <v>1073100</v>
      </c>
      <c r="Q40" s="166">
        <v>5</v>
      </c>
      <c r="R40" s="166">
        <v>5365500</v>
      </c>
      <c r="S40" s="160" t="s">
        <v>216</v>
      </c>
      <c r="T40" s="168" t="s">
        <v>217</v>
      </c>
      <c r="U40" s="160" t="s">
        <v>217</v>
      </c>
      <c r="V40" s="165" t="s">
        <v>39</v>
      </c>
      <c r="W40" s="6"/>
    </row>
    <row r="41" spans="1:23" s="9" customFormat="1" ht="33.75" customHeight="1" x14ac:dyDescent="0.35">
      <c r="A41" s="6">
        <v>34</v>
      </c>
      <c r="B41" s="7"/>
      <c r="C41" s="8"/>
      <c r="D41" s="161" t="s">
        <v>218</v>
      </c>
      <c r="E41" s="171" t="s">
        <v>219</v>
      </c>
      <c r="F41" s="165">
        <v>65</v>
      </c>
      <c r="G41" s="165" t="s">
        <v>48</v>
      </c>
      <c r="H41" s="165" t="s">
        <v>49</v>
      </c>
      <c r="I41" s="165" t="s">
        <v>42</v>
      </c>
      <c r="M41" s="165" t="s">
        <v>33</v>
      </c>
      <c r="N41" s="165" t="s">
        <v>34</v>
      </c>
      <c r="O41" s="165" t="s">
        <v>28</v>
      </c>
      <c r="P41" s="166">
        <v>1073100</v>
      </c>
      <c r="Q41" s="166">
        <v>5</v>
      </c>
      <c r="R41" s="166">
        <v>5365500</v>
      </c>
      <c r="S41" s="160" t="s">
        <v>220</v>
      </c>
      <c r="T41" s="168" t="s">
        <v>221</v>
      </c>
      <c r="U41" s="160" t="s">
        <v>222</v>
      </c>
      <c r="V41" s="165" t="s">
        <v>39</v>
      </c>
      <c r="W41" s="6"/>
    </row>
    <row r="42" spans="1:23" ht="33.75" customHeight="1" x14ac:dyDescent="0.35">
      <c r="A42" s="31">
        <v>35</v>
      </c>
      <c r="B42" s="156"/>
      <c r="C42" s="156"/>
      <c r="D42" s="172" t="s">
        <v>337</v>
      </c>
      <c r="E42" s="173" t="s">
        <v>338</v>
      </c>
      <c r="F42" s="114">
        <v>65</v>
      </c>
      <c r="G42" s="114" t="s">
        <v>48</v>
      </c>
      <c r="H42" s="114" t="s">
        <v>49</v>
      </c>
      <c r="I42" s="114" t="s">
        <v>42</v>
      </c>
      <c r="L42" s="4"/>
      <c r="M42" s="114" t="s">
        <v>35</v>
      </c>
      <c r="N42" s="114" t="s">
        <v>27</v>
      </c>
      <c r="O42" s="114"/>
      <c r="P42" s="174">
        <v>1533000</v>
      </c>
      <c r="Q42" s="174">
        <v>5</v>
      </c>
      <c r="R42" s="174">
        <v>7665000</v>
      </c>
      <c r="S42" s="121" t="s">
        <v>339</v>
      </c>
      <c r="T42" s="116" t="s">
        <v>340</v>
      </c>
      <c r="U42" s="121" t="s">
        <v>340</v>
      </c>
      <c r="V42" s="114" t="s">
        <v>29</v>
      </c>
      <c r="W42" s="31"/>
    </row>
    <row r="43" spans="1:23" s="9" customFormat="1" ht="33.75" customHeight="1" x14ac:dyDescent="0.35">
      <c r="A43" s="6">
        <v>36</v>
      </c>
      <c r="B43" s="7"/>
      <c r="C43" s="8"/>
      <c r="D43" s="161" t="s">
        <v>223</v>
      </c>
      <c r="E43" s="171" t="s">
        <v>224</v>
      </c>
      <c r="F43" s="165">
        <v>65</v>
      </c>
      <c r="G43" s="165" t="s">
        <v>225</v>
      </c>
      <c r="H43" s="165" t="s">
        <v>49</v>
      </c>
      <c r="I43" s="165" t="s">
        <v>42</v>
      </c>
      <c r="M43" s="165" t="s">
        <v>32</v>
      </c>
      <c r="N43" s="165" t="s">
        <v>27</v>
      </c>
      <c r="O43" s="165"/>
      <c r="P43" s="166">
        <v>1533000</v>
      </c>
      <c r="Q43" s="166">
        <v>5</v>
      </c>
      <c r="R43" s="166">
        <v>7665000</v>
      </c>
      <c r="S43" s="160" t="s">
        <v>226</v>
      </c>
      <c r="T43" s="168" t="s">
        <v>227</v>
      </c>
      <c r="U43" s="160" t="s">
        <v>228</v>
      </c>
      <c r="V43" s="165" t="s">
        <v>38</v>
      </c>
      <c r="W43" s="6"/>
    </row>
    <row r="44" spans="1:23" s="9" customFormat="1" ht="33.75" customHeight="1" x14ac:dyDescent="0.35">
      <c r="A44" s="6">
        <v>37</v>
      </c>
      <c r="B44" s="7"/>
      <c r="C44" s="8"/>
      <c r="D44" s="161" t="s">
        <v>229</v>
      </c>
      <c r="E44" s="171" t="s">
        <v>230</v>
      </c>
      <c r="F44" s="165">
        <v>65</v>
      </c>
      <c r="G44" s="165" t="s">
        <v>225</v>
      </c>
      <c r="H44" s="165" t="s">
        <v>49</v>
      </c>
      <c r="I44" s="165" t="s">
        <v>42</v>
      </c>
      <c r="M44" s="165" t="s">
        <v>32</v>
      </c>
      <c r="N44" s="165" t="s">
        <v>27</v>
      </c>
      <c r="O44" s="165"/>
      <c r="P44" s="166">
        <v>1533000</v>
      </c>
      <c r="Q44" s="166">
        <v>5</v>
      </c>
      <c r="R44" s="166">
        <v>7665000</v>
      </c>
      <c r="S44" s="160" t="s">
        <v>231</v>
      </c>
      <c r="T44" s="168" t="s">
        <v>232</v>
      </c>
      <c r="U44" s="160" t="s">
        <v>233</v>
      </c>
      <c r="V44" s="165" t="s">
        <v>39</v>
      </c>
      <c r="W44" s="6"/>
    </row>
    <row r="45" spans="1:23" s="9" customFormat="1" ht="33.75" customHeight="1" x14ac:dyDescent="0.35">
      <c r="A45" s="6">
        <v>38</v>
      </c>
      <c r="B45" s="7"/>
      <c r="C45" s="8"/>
      <c r="D45" s="175" t="s">
        <v>234</v>
      </c>
      <c r="E45" s="171" t="s">
        <v>235</v>
      </c>
      <c r="F45" s="165">
        <v>65</v>
      </c>
      <c r="G45" s="165" t="s">
        <v>225</v>
      </c>
      <c r="H45" s="165" t="s">
        <v>49</v>
      </c>
      <c r="I45" s="165" t="s">
        <v>42</v>
      </c>
      <c r="M45" s="162" t="s">
        <v>26</v>
      </c>
      <c r="N45" s="165" t="s">
        <v>27</v>
      </c>
      <c r="O45" s="165" t="s">
        <v>28</v>
      </c>
      <c r="P45" s="166">
        <v>1533000</v>
      </c>
      <c r="Q45" s="166">
        <v>5</v>
      </c>
      <c r="R45" s="166">
        <v>7665000</v>
      </c>
      <c r="S45" s="160" t="s">
        <v>236</v>
      </c>
      <c r="T45" s="168" t="s">
        <v>237</v>
      </c>
      <c r="U45" s="160" t="s">
        <v>238</v>
      </c>
      <c r="V45" s="165" t="s">
        <v>36</v>
      </c>
      <c r="W45" s="6"/>
    </row>
    <row r="46" spans="1:23" s="155" customFormat="1" ht="33.75" customHeight="1" x14ac:dyDescent="0.35">
      <c r="A46" s="151">
        <v>39</v>
      </c>
      <c r="B46" s="153"/>
      <c r="C46" s="154"/>
      <c r="D46" s="162" t="s">
        <v>239</v>
      </c>
      <c r="E46" s="162" t="s">
        <v>240</v>
      </c>
      <c r="F46" s="162">
        <v>62</v>
      </c>
      <c r="G46" s="162" t="s">
        <v>241</v>
      </c>
      <c r="H46" s="162" t="s">
        <v>242</v>
      </c>
      <c r="I46" s="162" t="s">
        <v>42</v>
      </c>
      <c r="M46" s="162" t="s">
        <v>32</v>
      </c>
      <c r="N46" s="162" t="s">
        <v>27</v>
      </c>
      <c r="O46" s="162"/>
      <c r="P46" s="163">
        <v>1533000</v>
      </c>
      <c r="Q46" s="163">
        <v>5</v>
      </c>
      <c r="R46" s="163">
        <v>7665000</v>
      </c>
      <c r="S46" s="162" t="s">
        <v>243</v>
      </c>
      <c r="T46" s="164" t="s">
        <v>244</v>
      </c>
      <c r="U46" s="162" t="s">
        <v>245</v>
      </c>
      <c r="V46" s="162" t="s">
        <v>29</v>
      </c>
      <c r="W46" s="152"/>
    </row>
    <row r="47" spans="1:23" s="9" customFormat="1" ht="33.75" customHeight="1" x14ac:dyDescent="0.35">
      <c r="A47" s="6">
        <v>40</v>
      </c>
      <c r="B47" s="7"/>
      <c r="C47" s="8"/>
      <c r="D47" s="165" t="s">
        <v>246</v>
      </c>
      <c r="E47" s="165" t="s">
        <v>247</v>
      </c>
      <c r="F47" s="165">
        <v>63</v>
      </c>
      <c r="G47" s="165" t="s">
        <v>248</v>
      </c>
      <c r="H47" s="165" t="s">
        <v>242</v>
      </c>
      <c r="I47" s="165" t="s">
        <v>42</v>
      </c>
      <c r="M47" s="165" t="s">
        <v>35</v>
      </c>
      <c r="N47" s="165" t="s">
        <v>27</v>
      </c>
      <c r="O47" s="165"/>
      <c r="P47" s="166">
        <v>1533000</v>
      </c>
      <c r="Q47" s="166">
        <v>5</v>
      </c>
      <c r="R47" s="166">
        <v>7665000</v>
      </c>
      <c r="S47" s="165" t="s">
        <v>249</v>
      </c>
      <c r="T47" s="167" t="s">
        <v>250</v>
      </c>
      <c r="U47" s="165" t="s">
        <v>251</v>
      </c>
      <c r="V47" s="165" t="s">
        <v>29</v>
      </c>
      <c r="W47" s="6"/>
    </row>
    <row r="48" spans="1:23" s="9" customFormat="1" ht="33.75" customHeight="1" x14ac:dyDescent="0.35">
      <c r="A48" s="6">
        <v>41</v>
      </c>
      <c r="B48" s="7"/>
      <c r="C48" s="8"/>
      <c r="D48" s="165" t="s">
        <v>252</v>
      </c>
      <c r="E48" s="165" t="s">
        <v>253</v>
      </c>
      <c r="F48" s="165">
        <v>63</v>
      </c>
      <c r="G48" s="165" t="s">
        <v>248</v>
      </c>
      <c r="H48" s="165" t="s">
        <v>242</v>
      </c>
      <c r="I48" s="165" t="s">
        <v>42</v>
      </c>
      <c r="M48" s="165" t="s">
        <v>37</v>
      </c>
      <c r="N48" s="165" t="s">
        <v>27</v>
      </c>
      <c r="O48" s="165"/>
      <c r="P48" s="166">
        <v>1533000</v>
      </c>
      <c r="Q48" s="166">
        <v>5</v>
      </c>
      <c r="R48" s="166">
        <v>7665000</v>
      </c>
      <c r="S48" s="165" t="s">
        <v>254</v>
      </c>
      <c r="T48" s="167" t="s">
        <v>255</v>
      </c>
      <c r="U48" s="165" t="s">
        <v>256</v>
      </c>
      <c r="V48" s="165" t="s">
        <v>29</v>
      </c>
      <c r="W48" s="6"/>
    </row>
    <row r="49" spans="1:23" s="9" customFormat="1" ht="33.75" customHeight="1" x14ac:dyDescent="0.35">
      <c r="A49" s="6">
        <v>42</v>
      </c>
      <c r="B49" s="7"/>
      <c r="C49" s="8"/>
      <c r="D49" s="165" t="s">
        <v>257</v>
      </c>
      <c r="E49" s="165" t="s">
        <v>258</v>
      </c>
      <c r="F49" s="165">
        <v>63</v>
      </c>
      <c r="G49" s="165" t="s">
        <v>248</v>
      </c>
      <c r="H49" s="165" t="s">
        <v>242</v>
      </c>
      <c r="I49" s="165" t="s">
        <v>42</v>
      </c>
      <c r="M49" s="165" t="s">
        <v>32</v>
      </c>
      <c r="N49" s="165" t="s">
        <v>27</v>
      </c>
      <c r="O49" s="165"/>
      <c r="P49" s="166">
        <v>1533000</v>
      </c>
      <c r="Q49" s="166">
        <v>5</v>
      </c>
      <c r="R49" s="166">
        <v>7665000</v>
      </c>
      <c r="S49" s="165" t="s">
        <v>259</v>
      </c>
      <c r="T49" s="167" t="s">
        <v>260</v>
      </c>
      <c r="U49" s="160" t="s">
        <v>261</v>
      </c>
      <c r="V49" s="165" t="s">
        <v>29</v>
      </c>
      <c r="W49" s="6"/>
    </row>
    <row r="50" spans="1:23" s="9" customFormat="1" ht="33.75" customHeight="1" x14ac:dyDescent="0.35">
      <c r="A50" s="6">
        <v>43</v>
      </c>
      <c r="B50" s="7"/>
      <c r="C50" s="8"/>
      <c r="D50" s="160" t="s">
        <v>262</v>
      </c>
      <c r="E50" s="165" t="s">
        <v>263</v>
      </c>
      <c r="F50" s="165">
        <v>64</v>
      </c>
      <c r="G50" s="165" t="s">
        <v>264</v>
      </c>
      <c r="H50" s="165" t="s">
        <v>242</v>
      </c>
      <c r="I50" s="165" t="s">
        <v>42</v>
      </c>
      <c r="M50" s="165" t="s">
        <v>30</v>
      </c>
      <c r="N50" s="165" t="s">
        <v>31</v>
      </c>
      <c r="O50" s="165"/>
      <c r="P50" s="166">
        <v>766500</v>
      </c>
      <c r="Q50" s="166">
        <v>5</v>
      </c>
      <c r="R50" s="166">
        <v>3832500</v>
      </c>
      <c r="S50" s="160" t="s">
        <v>265</v>
      </c>
      <c r="T50" s="168" t="s">
        <v>266</v>
      </c>
      <c r="U50" s="165" t="s">
        <v>267</v>
      </c>
      <c r="V50" s="165" t="s">
        <v>36</v>
      </c>
      <c r="W50" s="6"/>
    </row>
    <row r="51" spans="1:23" s="9" customFormat="1" ht="33.75" customHeight="1" x14ac:dyDescent="0.35">
      <c r="A51" s="6">
        <v>44</v>
      </c>
      <c r="B51" s="7"/>
      <c r="C51" s="8"/>
      <c r="D51" s="160" t="s">
        <v>268</v>
      </c>
      <c r="E51" s="165" t="s">
        <v>269</v>
      </c>
      <c r="F51" s="165">
        <v>64</v>
      </c>
      <c r="G51" s="165" t="s">
        <v>264</v>
      </c>
      <c r="H51" s="165" t="s">
        <v>242</v>
      </c>
      <c r="I51" s="165" t="s">
        <v>42</v>
      </c>
      <c r="M51" s="165" t="s">
        <v>35</v>
      </c>
      <c r="N51" s="165" t="s">
        <v>27</v>
      </c>
      <c r="O51" s="165"/>
      <c r="P51" s="166">
        <v>1533000</v>
      </c>
      <c r="Q51" s="166">
        <v>5</v>
      </c>
      <c r="R51" s="166">
        <v>7665000</v>
      </c>
      <c r="S51" s="160" t="s">
        <v>270</v>
      </c>
      <c r="T51" s="168" t="s">
        <v>271</v>
      </c>
      <c r="U51" s="165" t="s">
        <v>272</v>
      </c>
      <c r="V51" s="165" t="s">
        <v>36</v>
      </c>
      <c r="W51" s="6"/>
    </row>
    <row r="52" spans="1:23" s="155" customFormat="1" ht="33.75" customHeight="1" x14ac:dyDescent="0.35">
      <c r="A52" s="151">
        <v>45</v>
      </c>
      <c r="B52" s="153"/>
      <c r="C52" s="154"/>
      <c r="D52" s="162" t="s">
        <v>274</v>
      </c>
      <c r="E52" s="162" t="s">
        <v>275</v>
      </c>
      <c r="F52" s="162">
        <v>62</v>
      </c>
      <c r="G52" s="162" t="s">
        <v>276</v>
      </c>
      <c r="H52" s="162" t="s">
        <v>273</v>
      </c>
      <c r="I52" s="162" t="s">
        <v>42</v>
      </c>
      <c r="M52" s="162" t="s">
        <v>32</v>
      </c>
      <c r="N52" s="162" t="s">
        <v>27</v>
      </c>
      <c r="O52" s="162"/>
      <c r="P52" s="163">
        <v>1533000</v>
      </c>
      <c r="Q52" s="163">
        <v>5</v>
      </c>
      <c r="R52" s="163">
        <v>7665000</v>
      </c>
      <c r="S52" s="162" t="s">
        <v>277</v>
      </c>
      <c r="T52" s="164" t="s">
        <v>278</v>
      </c>
      <c r="U52" s="162" t="s">
        <v>279</v>
      </c>
      <c r="V52" s="162" t="s">
        <v>29</v>
      </c>
      <c r="W52" s="152"/>
    </row>
    <row r="53" spans="1:23" s="9" customFormat="1" ht="33.75" customHeight="1" x14ac:dyDescent="0.35">
      <c r="A53" s="6">
        <v>46</v>
      </c>
      <c r="B53" s="7"/>
      <c r="C53" s="8"/>
      <c r="D53" s="165" t="s">
        <v>280</v>
      </c>
      <c r="E53" s="165" t="s">
        <v>200</v>
      </c>
      <c r="F53" s="165">
        <v>62</v>
      </c>
      <c r="G53" s="165" t="s">
        <v>276</v>
      </c>
      <c r="H53" s="165" t="s">
        <v>273</v>
      </c>
      <c r="I53" s="165" t="s">
        <v>42</v>
      </c>
      <c r="M53" s="165" t="s">
        <v>32</v>
      </c>
      <c r="N53" s="165" t="s">
        <v>27</v>
      </c>
      <c r="O53" s="165"/>
      <c r="P53" s="166">
        <v>1533000</v>
      </c>
      <c r="Q53" s="166">
        <v>5</v>
      </c>
      <c r="R53" s="166">
        <v>7665000</v>
      </c>
      <c r="S53" s="165" t="s">
        <v>281</v>
      </c>
      <c r="T53" s="167" t="s">
        <v>282</v>
      </c>
      <c r="U53" s="165" t="s">
        <v>283</v>
      </c>
      <c r="V53" s="165" t="s">
        <v>29</v>
      </c>
      <c r="W53" s="6"/>
    </row>
    <row r="54" spans="1:23" s="9" customFormat="1" ht="33.75" customHeight="1" x14ac:dyDescent="0.35">
      <c r="A54" s="6">
        <v>47</v>
      </c>
      <c r="B54" s="7"/>
      <c r="C54" s="8"/>
      <c r="D54" s="165" t="s">
        <v>284</v>
      </c>
      <c r="E54" s="165" t="s">
        <v>285</v>
      </c>
      <c r="F54" s="165">
        <v>62</v>
      </c>
      <c r="G54" s="165" t="s">
        <v>241</v>
      </c>
      <c r="H54" s="165" t="s">
        <v>286</v>
      </c>
      <c r="I54" s="165" t="s">
        <v>42</v>
      </c>
      <c r="M54" s="165" t="s">
        <v>32</v>
      </c>
      <c r="N54" s="165" t="s">
        <v>27</v>
      </c>
      <c r="O54" s="165"/>
      <c r="P54" s="166">
        <v>1533000</v>
      </c>
      <c r="Q54" s="166">
        <v>5</v>
      </c>
      <c r="R54" s="166">
        <v>7665000</v>
      </c>
      <c r="S54" s="165" t="s">
        <v>287</v>
      </c>
      <c r="T54" s="167" t="s">
        <v>288</v>
      </c>
      <c r="U54" s="165" t="s">
        <v>289</v>
      </c>
      <c r="V54" s="165" t="s">
        <v>29</v>
      </c>
      <c r="W54" s="6"/>
    </row>
    <row r="55" spans="1:23" s="9" customFormat="1" ht="33.75" customHeight="1" x14ac:dyDescent="0.35">
      <c r="A55" s="6">
        <v>48</v>
      </c>
      <c r="B55" s="7"/>
      <c r="C55" s="8"/>
      <c r="D55" s="165" t="s">
        <v>290</v>
      </c>
      <c r="E55" s="165" t="s">
        <v>291</v>
      </c>
      <c r="F55" s="165">
        <v>63</v>
      </c>
      <c r="G55" s="165" t="s">
        <v>248</v>
      </c>
      <c r="H55" s="165" t="s">
        <v>286</v>
      </c>
      <c r="I55" s="165" t="s">
        <v>42</v>
      </c>
      <c r="M55" s="165" t="s">
        <v>33</v>
      </c>
      <c r="N55" s="165" t="s">
        <v>34</v>
      </c>
      <c r="O55" s="165" t="s">
        <v>28</v>
      </c>
      <c r="P55" s="166">
        <v>1073100</v>
      </c>
      <c r="Q55" s="166">
        <v>5</v>
      </c>
      <c r="R55" s="166">
        <v>5365500</v>
      </c>
      <c r="S55" s="165" t="s">
        <v>292</v>
      </c>
      <c r="T55" s="167" t="s">
        <v>293</v>
      </c>
      <c r="U55" s="165" t="s">
        <v>294</v>
      </c>
      <c r="V55" s="165" t="s">
        <v>29</v>
      </c>
      <c r="W55" s="6"/>
    </row>
    <row r="56" spans="1:23" s="9" customFormat="1" ht="33.75" customHeight="1" x14ac:dyDescent="0.35">
      <c r="A56" s="6">
        <v>49</v>
      </c>
      <c r="B56" s="7"/>
      <c r="C56" s="8"/>
      <c r="D56" s="165" t="s">
        <v>295</v>
      </c>
      <c r="E56" s="165" t="s">
        <v>296</v>
      </c>
      <c r="F56" s="165">
        <v>63</v>
      </c>
      <c r="G56" s="165" t="s">
        <v>248</v>
      </c>
      <c r="H56" s="165" t="s">
        <v>286</v>
      </c>
      <c r="I56" s="165" t="s">
        <v>42</v>
      </c>
      <c r="M56" s="165" t="s">
        <v>32</v>
      </c>
      <c r="N56" s="165" t="s">
        <v>27</v>
      </c>
      <c r="O56" s="165"/>
      <c r="P56" s="166">
        <v>1533000</v>
      </c>
      <c r="Q56" s="166">
        <v>5</v>
      </c>
      <c r="R56" s="166">
        <v>7665000</v>
      </c>
      <c r="S56" s="165" t="s">
        <v>297</v>
      </c>
      <c r="T56" s="167" t="s">
        <v>298</v>
      </c>
      <c r="U56" s="165" t="s">
        <v>299</v>
      </c>
      <c r="V56" s="165" t="s">
        <v>29</v>
      </c>
      <c r="W56" s="6"/>
    </row>
    <row r="57" spans="1:23" s="9" customFormat="1" ht="33.75" customHeight="1" x14ac:dyDescent="0.35">
      <c r="A57" s="6">
        <v>50</v>
      </c>
      <c r="B57" s="7"/>
      <c r="C57" s="8"/>
      <c r="D57" s="160" t="s">
        <v>300</v>
      </c>
      <c r="E57" s="165" t="s">
        <v>301</v>
      </c>
      <c r="F57" s="165">
        <v>64</v>
      </c>
      <c r="G57" s="165" t="s">
        <v>264</v>
      </c>
      <c r="H57" s="165" t="s">
        <v>286</v>
      </c>
      <c r="I57" s="165" t="s">
        <v>42</v>
      </c>
      <c r="M57" s="165" t="s">
        <v>32</v>
      </c>
      <c r="N57" s="165" t="s">
        <v>27</v>
      </c>
      <c r="O57" s="165"/>
      <c r="P57" s="166">
        <v>1533000</v>
      </c>
      <c r="Q57" s="166">
        <v>5</v>
      </c>
      <c r="R57" s="166">
        <v>7665000</v>
      </c>
      <c r="S57" s="160" t="s">
        <v>302</v>
      </c>
      <c r="T57" s="168" t="s">
        <v>303</v>
      </c>
      <c r="U57" s="165" t="s">
        <v>304</v>
      </c>
      <c r="V57" s="165" t="s">
        <v>36</v>
      </c>
      <c r="W57" s="6"/>
    </row>
    <row r="58" spans="1:23" s="9" customFormat="1" ht="33.75" customHeight="1" x14ac:dyDescent="0.35">
      <c r="A58" s="6">
        <v>51</v>
      </c>
      <c r="B58" s="7"/>
      <c r="C58" s="8"/>
      <c r="D58" s="160" t="s">
        <v>305</v>
      </c>
      <c r="E58" s="165" t="s">
        <v>306</v>
      </c>
      <c r="F58" s="165">
        <v>64</v>
      </c>
      <c r="G58" s="165" t="s">
        <v>264</v>
      </c>
      <c r="H58" s="165" t="s">
        <v>286</v>
      </c>
      <c r="I58" s="165" t="s">
        <v>42</v>
      </c>
      <c r="M58" s="165" t="s">
        <v>33</v>
      </c>
      <c r="N58" s="165" t="s">
        <v>34</v>
      </c>
      <c r="O58" s="165" t="s">
        <v>28</v>
      </c>
      <c r="P58" s="166">
        <v>1073100</v>
      </c>
      <c r="Q58" s="166">
        <v>5</v>
      </c>
      <c r="R58" s="166">
        <v>5365500</v>
      </c>
      <c r="S58" s="160" t="s">
        <v>307</v>
      </c>
      <c r="T58" s="168" t="s">
        <v>308</v>
      </c>
      <c r="U58" s="165" t="s">
        <v>309</v>
      </c>
      <c r="V58" s="165" t="s">
        <v>36</v>
      </c>
      <c r="W58" s="6"/>
    </row>
    <row r="59" spans="1:23" s="9" customFormat="1" ht="33.75" customHeight="1" x14ac:dyDescent="0.35">
      <c r="A59" s="6">
        <v>52</v>
      </c>
      <c r="B59" s="7"/>
      <c r="C59" s="8"/>
      <c r="D59" s="161" t="s">
        <v>310</v>
      </c>
      <c r="E59" s="165" t="s">
        <v>311</v>
      </c>
      <c r="F59" s="165">
        <v>64</v>
      </c>
      <c r="G59" s="165" t="s">
        <v>264</v>
      </c>
      <c r="H59" s="165" t="s">
        <v>286</v>
      </c>
      <c r="I59" s="165" t="s">
        <v>42</v>
      </c>
      <c r="M59" s="165" t="s">
        <v>33</v>
      </c>
      <c r="N59" s="165" t="s">
        <v>34</v>
      </c>
      <c r="O59" s="165" t="s">
        <v>28</v>
      </c>
      <c r="P59" s="166">
        <v>1073100</v>
      </c>
      <c r="Q59" s="166">
        <v>5</v>
      </c>
      <c r="R59" s="166">
        <v>5365500</v>
      </c>
      <c r="S59" s="160" t="s">
        <v>312</v>
      </c>
      <c r="T59" s="168" t="s">
        <v>313</v>
      </c>
      <c r="U59" s="160" t="s">
        <v>314</v>
      </c>
      <c r="V59" s="165" t="s">
        <v>36</v>
      </c>
      <c r="W59" s="6"/>
    </row>
    <row r="60" spans="1:23" s="148" customFormat="1" ht="33.75" customHeight="1" x14ac:dyDescent="0.35">
      <c r="A60" s="6">
        <v>53</v>
      </c>
      <c r="B60" s="8"/>
      <c r="C60" s="8"/>
      <c r="D60" s="201" t="s">
        <v>442</v>
      </c>
      <c r="E60" s="32" t="s">
        <v>359</v>
      </c>
      <c r="F60" s="32">
        <v>66</v>
      </c>
      <c r="G60" s="32" t="s">
        <v>364</v>
      </c>
      <c r="H60" s="142" t="s">
        <v>365</v>
      </c>
      <c r="I60" s="142" t="s">
        <v>42</v>
      </c>
      <c r="J60" s="32"/>
      <c r="K60" s="32"/>
      <c r="L60" s="142" t="s">
        <v>33</v>
      </c>
      <c r="M60" s="142" t="s">
        <v>33</v>
      </c>
      <c r="N60" s="142" t="s">
        <v>34</v>
      </c>
      <c r="O60" s="176">
        <v>1073100</v>
      </c>
      <c r="P60" s="176">
        <v>1073100</v>
      </c>
      <c r="Q60" s="37">
        <v>5</v>
      </c>
      <c r="R60" s="147">
        <f>P60*Q60</f>
        <v>5365500</v>
      </c>
      <c r="S60" s="36" t="s">
        <v>360</v>
      </c>
      <c r="T60" s="36" t="s">
        <v>361</v>
      </c>
      <c r="U60" s="36" t="s">
        <v>362</v>
      </c>
      <c r="V60" s="32" t="s">
        <v>345</v>
      </c>
      <c r="W60" s="37" t="s">
        <v>335</v>
      </c>
    </row>
    <row r="61" spans="1:23" s="148" customFormat="1" ht="33.75" customHeight="1" x14ac:dyDescent="0.35">
      <c r="A61" s="6">
        <v>54</v>
      </c>
      <c r="B61" s="8"/>
      <c r="C61" s="8"/>
      <c r="D61" s="36" t="s">
        <v>441</v>
      </c>
      <c r="E61" s="32" t="s">
        <v>352</v>
      </c>
      <c r="F61" s="32">
        <v>66</v>
      </c>
      <c r="G61" s="32" t="s">
        <v>353</v>
      </c>
      <c r="H61" s="142" t="s">
        <v>49</v>
      </c>
      <c r="I61" s="142" t="s">
        <v>42</v>
      </c>
      <c r="J61" s="32"/>
      <c r="K61" s="32"/>
      <c r="L61" s="142" t="s">
        <v>33</v>
      </c>
      <c r="M61" s="142" t="s">
        <v>33</v>
      </c>
      <c r="N61" s="142" t="s">
        <v>34</v>
      </c>
      <c r="O61" s="176">
        <v>1073100</v>
      </c>
      <c r="P61" s="176">
        <v>1073100</v>
      </c>
      <c r="Q61" s="37">
        <v>5</v>
      </c>
      <c r="R61" s="147">
        <f t="shared" ref="R61:R64" si="0">P61*Q61</f>
        <v>5365500</v>
      </c>
      <c r="S61" s="36" t="s">
        <v>354</v>
      </c>
      <c r="T61" s="36" t="s">
        <v>355</v>
      </c>
      <c r="U61" s="36" t="s">
        <v>356</v>
      </c>
      <c r="V61" s="32" t="s">
        <v>36</v>
      </c>
      <c r="W61" s="37" t="s">
        <v>335</v>
      </c>
    </row>
    <row r="62" spans="1:23" s="148" customFormat="1" ht="33.75" customHeight="1" x14ac:dyDescent="0.35">
      <c r="A62" s="6">
        <v>55</v>
      </c>
      <c r="B62" s="8"/>
      <c r="C62" s="8"/>
      <c r="D62" s="201" t="s">
        <v>440</v>
      </c>
      <c r="E62" s="32" t="s">
        <v>450</v>
      </c>
      <c r="F62" s="32">
        <v>66</v>
      </c>
      <c r="G62" s="32" t="s">
        <v>353</v>
      </c>
      <c r="H62" s="142" t="s">
        <v>49</v>
      </c>
      <c r="I62" s="142" t="s">
        <v>42</v>
      </c>
      <c r="J62" s="32"/>
      <c r="K62" s="32"/>
      <c r="L62" s="142" t="s">
        <v>33</v>
      </c>
      <c r="M62" s="142" t="s">
        <v>33</v>
      </c>
      <c r="N62" s="142" t="s">
        <v>34</v>
      </c>
      <c r="O62" s="176">
        <v>1073100</v>
      </c>
      <c r="P62" s="176">
        <v>1073100</v>
      </c>
      <c r="Q62" s="37">
        <v>5</v>
      </c>
      <c r="R62" s="147">
        <f>P62*Q62</f>
        <v>5365500</v>
      </c>
      <c r="S62" s="36" t="s">
        <v>366</v>
      </c>
      <c r="T62" s="36" t="s">
        <v>367</v>
      </c>
      <c r="U62" s="36" t="s">
        <v>368</v>
      </c>
      <c r="V62" s="32" t="s">
        <v>36</v>
      </c>
      <c r="W62" s="37" t="s">
        <v>335</v>
      </c>
    </row>
    <row r="63" spans="1:23" s="148" customFormat="1" ht="33.75" customHeight="1" x14ac:dyDescent="0.35">
      <c r="A63" s="6">
        <v>56</v>
      </c>
      <c r="B63" s="8"/>
      <c r="C63" s="8"/>
      <c r="D63" s="201" t="s">
        <v>438</v>
      </c>
      <c r="E63" s="32" t="s">
        <v>437</v>
      </c>
      <c r="F63" s="32">
        <v>66</v>
      </c>
      <c r="G63" s="32" t="s">
        <v>353</v>
      </c>
      <c r="H63" s="142" t="s">
        <v>49</v>
      </c>
      <c r="I63" s="142" t="s">
        <v>42</v>
      </c>
      <c r="J63" s="32"/>
      <c r="K63" s="32"/>
      <c r="L63" s="122" t="s">
        <v>26</v>
      </c>
      <c r="M63" s="122" t="s">
        <v>26</v>
      </c>
      <c r="N63" s="142" t="s">
        <v>27</v>
      </c>
      <c r="O63" s="176">
        <v>1533000</v>
      </c>
      <c r="P63" s="176">
        <v>1533000</v>
      </c>
      <c r="Q63" s="37">
        <v>5</v>
      </c>
      <c r="R63" s="147">
        <f t="shared" si="0"/>
        <v>7665000</v>
      </c>
      <c r="S63" s="36" t="s">
        <v>394</v>
      </c>
      <c r="T63" s="36" t="s">
        <v>358</v>
      </c>
      <c r="U63" s="36" t="s">
        <v>358</v>
      </c>
      <c r="V63" s="32" t="s">
        <v>36</v>
      </c>
      <c r="W63" s="37" t="s">
        <v>335</v>
      </c>
    </row>
    <row r="64" spans="1:23" s="148" customFormat="1" ht="33.75" customHeight="1" x14ac:dyDescent="0.35">
      <c r="A64" s="6">
        <v>57</v>
      </c>
      <c r="B64" s="8"/>
      <c r="C64" s="8"/>
      <c r="D64" s="200" t="s">
        <v>439</v>
      </c>
      <c r="E64" s="32" t="s">
        <v>347</v>
      </c>
      <c r="F64" s="32">
        <v>66</v>
      </c>
      <c r="G64" s="32" t="s">
        <v>344</v>
      </c>
      <c r="H64" s="142" t="s">
        <v>49</v>
      </c>
      <c r="I64" s="142" t="s">
        <v>42</v>
      </c>
      <c r="J64" s="32"/>
      <c r="K64" s="32"/>
      <c r="L64" s="142" t="s">
        <v>33</v>
      </c>
      <c r="M64" s="142" t="s">
        <v>33</v>
      </c>
      <c r="N64" s="142" t="s">
        <v>34</v>
      </c>
      <c r="O64" s="176">
        <v>1533000</v>
      </c>
      <c r="P64" s="176">
        <v>1533000</v>
      </c>
      <c r="Q64" s="37">
        <v>5</v>
      </c>
      <c r="R64" s="147">
        <f t="shared" si="0"/>
        <v>7665000</v>
      </c>
      <c r="S64" s="36" t="s">
        <v>348</v>
      </c>
      <c r="T64" s="36" t="s">
        <v>349</v>
      </c>
      <c r="U64" s="36" t="s">
        <v>350</v>
      </c>
      <c r="V64" s="32" t="s">
        <v>351</v>
      </c>
      <c r="W64" s="37" t="s">
        <v>335</v>
      </c>
    </row>
    <row r="65" spans="1:23" s="148" customFormat="1" ht="33.75" customHeight="1" x14ac:dyDescent="0.35">
      <c r="A65" s="6">
        <v>58</v>
      </c>
      <c r="B65" s="8"/>
      <c r="C65" s="8"/>
      <c r="D65" s="159" t="s">
        <v>419</v>
      </c>
      <c r="E65" s="142" t="s">
        <v>420</v>
      </c>
      <c r="F65" s="142">
        <v>66</v>
      </c>
      <c r="G65" s="150" t="s">
        <v>364</v>
      </c>
      <c r="H65" s="142" t="s">
        <v>425</v>
      </c>
      <c r="I65" s="142" t="s">
        <v>42</v>
      </c>
      <c r="J65" s="35"/>
      <c r="K65" s="35"/>
      <c r="L65" s="122" t="s">
        <v>400</v>
      </c>
      <c r="M65" s="122" t="s">
        <v>400</v>
      </c>
      <c r="N65" s="142" t="s">
        <v>453</v>
      </c>
      <c r="O65" s="142"/>
      <c r="P65" s="176">
        <v>1533000</v>
      </c>
      <c r="Q65" s="176">
        <v>5</v>
      </c>
      <c r="R65" s="176">
        <v>7665000</v>
      </c>
      <c r="S65" s="144" t="s">
        <v>422</v>
      </c>
      <c r="T65" s="144" t="s">
        <v>423</v>
      </c>
      <c r="U65" s="145" t="s">
        <v>424</v>
      </c>
      <c r="V65" s="94" t="s">
        <v>36</v>
      </c>
      <c r="W65" s="37" t="s">
        <v>335</v>
      </c>
    </row>
    <row r="66" spans="1:23" s="148" customFormat="1" ht="33.75" customHeight="1" x14ac:dyDescent="0.35">
      <c r="A66" s="6">
        <v>59</v>
      </c>
      <c r="B66" s="8"/>
      <c r="C66" s="8"/>
      <c r="D66" s="198" t="s">
        <v>428</v>
      </c>
      <c r="E66" s="142" t="s">
        <v>429</v>
      </c>
      <c r="F66" s="142">
        <v>66</v>
      </c>
      <c r="G66" s="142" t="s">
        <v>364</v>
      </c>
      <c r="H66" s="142" t="s">
        <v>425</v>
      </c>
      <c r="I66" s="142" t="s">
        <v>42</v>
      </c>
      <c r="J66" s="35"/>
      <c r="K66" s="35"/>
      <c r="L66" s="122" t="s">
        <v>430</v>
      </c>
      <c r="M66" s="122" t="s">
        <v>430</v>
      </c>
      <c r="N66" s="33" t="s">
        <v>27</v>
      </c>
      <c r="O66" s="176">
        <v>1533000</v>
      </c>
      <c r="P66" s="176">
        <v>1533000</v>
      </c>
      <c r="Q66" s="37">
        <v>5</v>
      </c>
      <c r="R66" s="147">
        <f>P66*Q66</f>
        <v>7665000</v>
      </c>
      <c r="S66" s="36" t="s">
        <v>431</v>
      </c>
      <c r="T66" s="36" t="s">
        <v>432</v>
      </c>
      <c r="U66" s="36" t="s">
        <v>433</v>
      </c>
      <c r="V66" s="32" t="s">
        <v>351</v>
      </c>
      <c r="W66" s="37" t="s">
        <v>335</v>
      </c>
    </row>
    <row r="67" spans="1:23" s="148" customFormat="1" ht="33.75" customHeight="1" x14ac:dyDescent="0.35">
      <c r="A67" s="6">
        <v>60</v>
      </c>
      <c r="B67" s="8"/>
      <c r="C67" s="8"/>
      <c r="D67" s="199" t="s">
        <v>443</v>
      </c>
      <c r="E67" s="142" t="s">
        <v>444</v>
      </c>
      <c r="F67" s="142">
        <v>66</v>
      </c>
      <c r="G67" s="142" t="s">
        <v>364</v>
      </c>
      <c r="H67" s="142" t="s">
        <v>425</v>
      </c>
      <c r="I67" s="33" t="s">
        <v>42</v>
      </c>
      <c r="J67" s="35"/>
      <c r="K67" s="35"/>
      <c r="L67" s="149" t="s">
        <v>26</v>
      </c>
      <c r="M67" s="149" t="s">
        <v>26</v>
      </c>
      <c r="N67" s="33" t="s">
        <v>27</v>
      </c>
      <c r="O67" s="34">
        <v>1533000</v>
      </c>
      <c r="P67" s="34">
        <v>1533000</v>
      </c>
      <c r="Q67" s="37">
        <v>5</v>
      </c>
      <c r="R67" s="147">
        <f>P67*Q67</f>
        <v>7665000</v>
      </c>
      <c r="S67" s="36" t="s">
        <v>445</v>
      </c>
      <c r="T67" s="36" t="s">
        <v>446</v>
      </c>
      <c r="U67" s="36" t="s">
        <v>447</v>
      </c>
      <c r="V67" s="94" t="s">
        <v>36</v>
      </c>
      <c r="W67" s="37" t="s">
        <v>335</v>
      </c>
    </row>
    <row r="68" spans="1:23" s="10" customFormat="1" ht="36.75" customHeight="1" x14ac:dyDescent="0.35">
      <c r="A68" s="207" t="s">
        <v>319</v>
      </c>
      <c r="B68" s="207"/>
      <c r="C68" s="207"/>
      <c r="D68" s="207"/>
      <c r="E68" s="207"/>
      <c r="F68" s="207"/>
      <c r="G68" s="207"/>
      <c r="H68" s="207"/>
      <c r="I68" s="207"/>
      <c r="J68" s="207"/>
      <c r="K68" s="207"/>
      <c r="L68" s="207"/>
      <c r="M68" s="207"/>
      <c r="N68" s="207"/>
      <c r="O68" s="11"/>
      <c r="P68" s="11">
        <f>SUM(P8:P67)</f>
        <v>83395200</v>
      </c>
      <c r="Q68" s="11"/>
      <c r="R68" s="11">
        <f>SUM(R8:R67)</f>
        <v>416976000</v>
      </c>
      <c r="S68" s="12"/>
      <c r="T68" s="12"/>
      <c r="U68" s="12"/>
      <c r="V68" s="12"/>
      <c r="W68" s="20"/>
    </row>
    <row r="69" spans="1:23" ht="31.5" customHeight="1" x14ac:dyDescent="0.35">
      <c r="A69" s="177" t="s">
        <v>452</v>
      </c>
    </row>
    <row r="70" spans="1:23" ht="20.5" x14ac:dyDescent="0.35">
      <c r="A70" s="15"/>
      <c r="B70" s="15"/>
      <c r="C70" s="15"/>
      <c r="D70" s="15"/>
      <c r="E70" s="15"/>
      <c r="F70" s="15"/>
      <c r="G70" s="16"/>
      <c r="H70" s="16"/>
      <c r="I70" s="15"/>
      <c r="J70" s="15"/>
      <c r="K70" s="15"/>
      <c r="L70" s="16"/>
      <c r="M70" s="15"/>
      <c r="N70" s="15"/>
      <c r="O70" s="15"/>
      <c r="P70" s="15"/>
      <c r="Q70" s="15"/>
      <c r="R70" s="15"/>
      <c r="S70" s="15"/>
      <c r="T70" s="15"/>
      <c r="U70" s="15"/>
      <c r="V70" s="15"/>
    </row>
    <row r="71" spans="1:23" s="17" customFormat="1" ht="28" x14ac:dyDescent="0.35">
      <c r="A71" s="21"/>
      <c r="B71" s="21"/>
      <c r="C71" s="21"/>
      <c r="D71" s="21"/>
      <c r="E71" s="21"/>
      <c r="F71" s="21"/>
      <c r="G71" s="22"/>
      <c r="H71" s="22"/>
      <c r="I71" s="21"/>
      <c r="J71" s="21"/>
      <c r="K71" s="21"/>
      <c r="L71" s="22"/>
      <c r="M71" s="21"/>
      <c r="N71" s="21"/>
      <c r="O71" s="21"/>
      <c r="P71" s="21"/>
      <c r="Q71" s="21"/>
      <c r="R71" s="208" t="s">
        <v>320</v>
      </c>
      <c r="S71" s="208"/>
      <c r="T71" s="208"/>
      <c r="U71" s="208"/>
      <c r="V71" s="208"/>
      <c r="W71" s="26"/>
    </row>
    <row r="72" spans="1:23" ht="27.5" x14ac:dyDescent="0.35">
      <c r="A72" s="209" t="s">
        <v>321</v>
      </c>
      <c r="B72" s="209"/>
      <c r="C72" s="209"/>
      <c r="D72" s="209"/>
      <c r="E72" s="209"/>
      <c r="F72" s="23"/>
      <c r="G72" s="24"/>
      <c r="H72" s="24"/>
      <c r="I72" s="23"/>
      <c r="J72" s="23"/>
      <c r="K72" s="23"/>
      <c r="L72" s="24"/>
      <c r="M72" s="23"/>
      <c r="N72" s="23"/>
      <c r="O72" s="23"/>
      <c r="P72" s="23"/>
      <c r="Q72" s="23"/>
      <c r="R72" s="209" t="s">
        <v>322</v>
      </c>
      <c r="S72" s="209"/>
      <c r="T72" s="209"/>
      <c r="U72" s="209"/>
      <c r="V72" s="209"/>
      <c r="W72" s="25"/>
    </row>
    <row r="73" spans="1:23" ht="28" x14ac:dyDescent="0.35">
      <c r="A73" s="21"/>
      <c r="B73" s="21"/>
      <c r="C73" s="21"/>
      <c r="D73" s="21"/>
      <c r="E73" s="21"/>
      <c r="F73" s="21"/>
      <c r="G73" s="22"/>
      <c r="H73" s="22"/>
      <c r="I73" s="21"/>
      <c r="J73" s="21"/>
      <c r="K73" s="21"/>
      <c r="L73" s="22"/>
      <c r="M73" s="21"/>
      <c r="N73" s="21"/>
      <c r="O73" s="21"/>
      <c r="P73" s="21"/>
      <c r="Q73" s="21"/>
      <c r="R73" s="21"/>
      <c r="S73" s="21"/>
      <c r="T73" s="21"/>
      <c r="U73" s="21"/>
      <c r="V73" s="21"/>
      <c r="W73" s="21"/>
    </row>
    <row r="74" spans="1:23" ht="28" x14ac:dyDescent="0.35">
      <c r="A74" s="21"/>
      <c r="B74" s="21"/>
      <c r="C74" s="21"/>
      <c r="D74" s="21"/>
      <c r="E74" s="21"/>
      <c r="F74" s="21"/>
      <c r="G74" s="22"/>
      <c r="H74" s="22"/>
      <c r="I74" s="21"/>
      <c r="J74" s="21"/>
      <c r="K74" s="21"/>
      <c r="L74" s="22"/>
      <c r="M74" s="21"/>
      <c r="N74" s="21"/>
      <c r="O74" s="21"/>
      <c r="P74" s="21"/>
      <c r="Q74" s="21"/>
      <c r="R74" s="21"/>
      <c r="S74" s="21"/>
      <c r="T74" s="21"/>
      <c r="U74" s="21"/>
      <c r="V74" s="21"/>
      <c r="W74" s="21"/>
    </row>
    <row r="77" spans="1:23" ht="35.25" customHeight="1" x14ac:dyDescent="0.35">
      <c r="P77" s="39"/>
      <c r="Q77" s="40" t="s">
        <v>341</v>
      </c>
      <c r="R77" s="40"/>
      <c r="S77" s="40"/>
      <c r="T77" s="40"/>
      <c r="U77" s="40" t="s">
        <v>336</v>
      </c>
      <c r="V77" s="9"/>
    </row>
  </sheetData>
  <mergeCells count="11">
    <mergeCell ref="A68:N68"/>
    <mergeCell ref="R71:V71"/>
    <mergeCell ref="A72:E72"/>
    <mergeCell ref="R72:V72"/>
    <mergeCell ref="A3:E3"/>
    <mergeCell ref="A5:V5"/>
    <mergeCell ref="A1:E1"/>
    <mergeCell ref="M1:V1"/>
    <mergeCell ref="A2:E2"/>
    <mergeCell ref="M2:V2"/>
    <mergeCell ref="A4:V4"/>
  </mergeCells>
  <conditionalFormatting sqref="D8:D49">
    <cfRule type="duplicateValues" dxfId="205" priority="48"/>
  </conditionalFormatting>
  <conditionalFormatting sqref="D8:D59">
    <cfRule type="duplicateValues" dxfId="204" priority="99"/>
  </conditionalFormatting>
  <conditionalFormatting sqref="D50:D51">
    <cfRule type="duplicateValues" dxfId="203" priority="47"/>
  </conditionalFormatting>
  <conditionalFormatting sqref="D63">
    <cfRule type="duplicateValues" dxfId="202" priority="9"/>
    <cfRule type="duplicateValues" dxfId="201" priority="10"/>
  </conditionalFormatting>
  <conditionalFormatting sqref="D64 D60:D62">
    <cfRule type="duplicateValues" dxfId="200" priority="19"/>
    <cfRule type="duplicateValues" dxfId="199" priority="20"/>
  </conditionalFormatting>
  <conditionalFormatting sqref="D65">
    <cfRule type="duplicateValues" dxfId="198" priority="16"/>
    <cfRule type="duplicateValues" dxfId="197" priority="17"/>
    <cfRule type="duplicateValues" dxfId="196" priority="18"/>
  </conditionalFormatting>
  <conditionalFormatting sqref="D66">
    <cfRule type="duplicateValues" dxfId="195" priority="12"/>
    <cfRule type="duplicateValues" dxfId="194" priority="13"/>
    <cfRule type="duplicateValues" dxfId="193" priority="14"/>
  </conditionalFormatting>
  <conditionalFormatting sqref="D67">
    <cfRule type="duplicateValues" dxfId="192" priority="2"/>
    <cfRule type="duplicateValues" dxfId="191" priority="3"/>
    <cfRule type="duplicateValues" dxfId="190" priority="4"/>
  </conditionalFormatting>
  <conditionalFormatting sqref="D69:D70">
    <cfRule type="duplicateValues" dxfId="189" priority="75"/>
  </conditionalFormatting>
  <conditionalFormatting sqref="D71 D73">
    <cfRule type="duplicateValues" dxfId="188" priority="63"/>
    <cfRule type="duplicateValues" dxfId="187" priority="64"/>
    <cfRule type="duplicateValues" dxfId="186" priority="65"/>
    <cfRule type="duplicateValues" dxfId="185" priority="70"/>
  </conditionalFormatting>
  <conditionalFormatting sqref="D74">
    <cfRule type="duplicateValues" dxfId="184" priority="66"/>
    <cfRule type="duplicateValues" dxfId="183" priority="67"/>
    <cfRule type="duplicateValues" dxfId="182" priority="68"/>
    <cfRule type="duplicateValues" dxfId="181" priority="69"/>
  </conditionalFormatting>
  <conditionalFormatting sqref="D75:D1048576 D7">
    <cfRule type="duplicateValues" dxfId="180" priority="71"/>
    <cfRule type="duplicateValues" dxfId="179" priority="74"/>
  </conditionalFormatting>
  <conditionalFormatting sqref="D75:D1048576">
    <cfRule type="duplicateValues" dxfId="178" priority="72"/>
    <cfRule type="duplicateValues" dxfId="177" priority="73"/>
  </conditionalFormatting>
  <conditionalFormatting sqref="E65">
    <cfRule type="duplicateValues" dxfId="176" priority="15"/>
  </conditionalFormatting>
  <conditionalFormatting sqref="E66">
    <cfRule type="duplicateValues" dxfId="175" priority="11"/>
  </conditionalFormatting>
  <conditionalFormatting sqref="E67">
    <cfRule type="duplicateValues" dxfId="174" priority="1"/>
  </conditionalFormatting>
  <conditionalFormatting sqref="U17">
    <cfRule type="duplicateValues" dxfId="173" priority="46"/>
  </conditionalFormatting>
  <conditionalFormatting sqref="U18">
    <cfRule type="duplicateValues" dxfId="172" priority="45"/>
  </conditionalFormatting>
  <conditionalFormatting sqref="U19">
    <cfRule type="duplicateValues" dxfId="171" priority="44"/>
  </conditionalFormatting>
  <conditionalFormatting sqref="U20">
    <cfRule type="duplicateValues" dxfId="170" priority="43"/>
  </conditionalFormatting>
  <conditionalFormatting sqref="U21">
    <cfRule type="duplicateValues" dxfId="169" priority="42"/>
  </conditionalFormatting>
  <conditionalFormatting sqref="U22">
    <cfRule type="duplicateValues" dxfId="168" priority="41"/>
  </conditionalFormatting>
  <printOptions horizontalCentered="1"/>
  <pageMargins left="0.19685039370078741" right="0.19685039370078741" top="0.47" bottom="0.65" header="0.35" footer="0.11811023622047245"/>
  <pageSetup paperSize="9" scale="60" fitToHeight="0" orientation="landscape"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A91C-C2DB-48CD-9E86-12589C023AB5}">
  <dimension ref="A1:W25"/>
  <sheetViews>
    <sheetView tabSelected="1" topLeftCell="A4" zoomScale="55" zoomScaleNormal="55" zoomScaleSheetLayoutView="62" workbookViewId="0">
      <selection activeCell="I19" sqref="I19"/>
    </sheetView>
  </sheetViews>
  <sheetFormatPr defaultColWidth="9" defaultRowHeight="18" x14ac:dyDescent="0.35"/>
  <cols>
    <col min="1" max="1" width="5.83203125" style="4" customWidth="1"/>
    <col min="2" max="2" width="8.5" style="4" customWidth="1"/>
    <col min="3" max="3" width="8.203125E-2" style="4" hidden="1" customWidth="1"/>
    <col min="4" max="4" width="18.5" style="4" customWidth="1"/>
    <col min="5" max="5" width="20.83203125" style="4" customWidth="1"/>
    <col min="6" max="6" width="8.75" style="4" customWidth="1"/>
    <col min="7" max="7" width="10" style="18" customWidth="1"/>
    <col min="8" max="8" width="20.83203125" style="18" customWidth="1"/>
    <col min="9" max="9" width="22.33203125" style="4" customWidth="1"/>
    <col min="10" max="10" width="12.58203125" style="4" hidden="1" customWidth="1"/>
    <col min="11" max="11" width="9.75" style="4" hidden="1" customWidth="1"/>
    <col min="12" max="12" width="20.25" style="18" customWidth="1"/>
    <col min="13" max="13" width="11" style="4" customWidth="1"/>
    <col min="14" max="14" width="9.5" style="4" customWidth="1"/>
    <col min="15" max="15" width="12.75" style="4" hidden="1" customWidth="1"/>
    <col min="16" max="16" width="14.75" style="4" customWidth="1"/>
    <col min="17" max="17" width="8.25" style="4" customWidth="1"/>
    <col min="18" max="18" width="13.08203125" style="4" customWidth="1"/>
    <col min="19" max="19" width="16.5" style="4" customWidth="1"/>
    <col min="20" max="20" width="15.33203125" style="4" customWidth="1"/>
    <col min="21" max="21" width="18" style="4" customWidth="1"/>
    <col min="22" max="22" width="13.33203125" style="4" customWidth="1"/>
    <col min="23" max="16384" width="9" style="4"/>
  </cols>
  <sheetData>
    <row r="1" spans="1:23" ht="29.25" customHeight="1" x14ac:dyDescent="0.35">
      <c r="A1" s="203" t="s">
        <v>0</v>
      </c>
      <c r="B1" s="203"/>
      <c r="C1" s="203"/>
      <c r="D1" s="203"/>
      <c r="E1" s="203"/>
      <c r="F1" s="2"/>
      <c r="G1" s="3"/>
      <c r="H1" s="3"/>
      <c r="I1" s="2"/>
      <c r="J1" s="2"/>
      <c r="K1" s="2"/>
      <c r="L1" s="3"/>
      <c r="M1" s="204" t="s">
        <v>1</v>
      </c>
      <c r="N1" s="204"/>
      <c r="O1" s="204"/>
      <c r="P1" s="204"/>
      <c r="Q1" s="204"/>
      <c r="R1" s="204"/>
      <c r="S1" s="204"/>
      <c r="T1" s="204"/>
      <c r="U1" s="204"/>
      <c r="V1" s="204"/>
    </row>
    <row r="2" spans="1:23" ht="29.25" customHeight="1" x14ac:dyDescent="0.35">
      <c r="A2" s="205" t="s">
        <v>2</v>
      </c>
      <c r="B2" s="205"/>
      <c r="C2" s="205"/>
      <c r="D2" s="205"/>
      <c r="E2" s="205"/>
      <c r="F2" s="2"/>
      <c r="G2" s="3"/>
      <c r="H2" s="3"/>
      <c r="I2" s="2"/>
      <c r="J2" s="2"/>
      <c r="K2" s="2"/>
      <c r="L2" s="3"/>
      <c r="M2" s="205" t="s">
        <v>3</v>
      </c>
      <c r="N2" s="205"/>
      <c r="O2" s="205"/>
      <c r="P2" s="205"/>
      <c r="Q2" s="205"/>
      <c r="R2" s="205"/>
      <c r="S2" s="205"/>
      <c r="T2" s="205"/>
      <c r="U2" s="205"/>
      <c r="V2" s="205"/>
    </row>
    <row r="3" spans="1:23" ht="29.25" customHeight="1" x14ac:dyDescent="0.35">
      <c r="A3" s="204" t="s">
        <v>334</v>
      </c>
      <c r="B3" s="204"/>
      <c r="C3" s="204"/>
      <c r="D3" s="204"/>
      <c r="E3" s="204"/>
      <c r="F3" s="2"/>
      <c r="G3" s="3"/>
      <c r="H3" s="3"/>
      <c r="I3" s="2"/>
      <c r="J3" s="2"/>
      <c r="K3" s="2"/>
      <c r="L3" s="3"/>
      <c r="M3" s="2"/>
      <c r="N3" s="2"/>
      <c r="O3" s="2"/>
      <c r="P3" s="2"/>
      <c r="Q3" s="2"/>
      <c r="R3" s="2"/>
      <c r="S3" s="2"/>
      <c r="T3" s="2"/>
      <c r="U3" s="5"/>
      <c r="V3" s="2"/>
    </row>
    <row r="4" spans="1:23" ht="29.25" customHeight="1" x14ac:dyDescent="0.35">
      <c r="A4" s="206" t="s">
        <v>323</v>
      </c>
      <c r="B4" s="206"/>
      <c r="C4" s="206"/>
      <c r="D4" s="206"/>
      <c r="E4" s="206"/>
      <c r="F4" s="206"/>
      <c r="G4" s="206"/>
      <c r="H4" s="206"/>
      <c r="I4" s="206"/>
      <c r="J4" s="206"/>
      <c r="K4" s="206"/>
      <c r="L4" s="206"/>
      <c r="M4" s="206"/>
      <c r="N4" s="206"/>
      <c r="O4" s="206"/>
      <c r="P4" s="206"/>
      <c r="Q4" s="206"/>
      <c r="R4" s="206"/>
      <c r="S4" s="206"/>
      <c r="T4" s="206"/>
      <c r="U4" s="206"/>
      <c r="V4" s="206"/>
    </row>
    <row r="5" spans="1:23" ht="29.25" customHeight="1" x14ac:dyDescent="0.35">
      <c r="A5" s="206" t="s">
        <v>343</v>
      </c>
      <c r="B5" s="206"/>
      <c r="C5" s="206"/>
      <c r="D5" s="206"/>
      <c r="E5" s="206"/>
      <c r="F5" s="206"/>
      <c r="G5" s="206"/>
      <c r="H5" s="206"/>
      <c r="I5" s="206"/>
      <c r="J5" s="206"/>
      <c r="K5" s="206"/>
      <c r="L5" s="206"/>
      <c r="M5" s="206"/>
      <c r="N5" s="206"/>
      <c r="O5" s="206"/>
      <c r="P5" s="206"/>
      <c r="Q5" s="206"/>
      <c r="R5" s="206"/>
      <c r="S5" s="206"/>
      <c r="T5" s="206"/>
      <c r="U5" s="206"/>
      <c r="V5" s="206"/>
    </row>
    <row r="6" spans="1:23" x14ac:dyDescent="0.35">
      <c r="A6" s="19"/>
      <c r="B6" s="19"/>
      <c r="C6" s="19"/>
      <c r="D6" s="19"/>
      <c r="E6" s="19"/>
      <c r="F6" s="19"/>
      <c r="G6" s="19"/>
      <c r="H6" s="19"/>
      <c r="I6" s="19"/>
      <c r="J6" s="19"/>
      <c r="K6" s="19"/>
      <c r="L6" s="19"/>
      <c r="M6" s="19"/>
      <c r="N6" s="19"/>
      <c r="O6" s="19"/>
      <c r="P6" s="19"/>
      <c r="Q6" s="19"/>
      <c r="R6" s="19"/>
      <c r="S6" s="19"/>
      <c r="T6" s="19"/>
      <c r="U6" s="19"/>
      <c r="V6" s="19"/>
    </row>
    <row r="7" spans="1:23" s="9" customFormat="1" ht="70" x14ac:dyDescent="0.35">
      <c r="A7" s="6" t="s">
        <v>4</v>
      </c>
      <c r="B7" s="7" t="s">
        <v>5</v>
      </c>
      <c r="C7" s="8" t="s">
        <v>6</v>
      </c>
      <c r="D7" s="7" t="s">
        <v>7</v>
      </c>
      <c r="E7" s="7" t="s">
        <v>8</v>
      </c>
      <c r="F7" s="7" t="s">
        <v>9</v>
      </c>
      <c r="G7" s="7" t="s">
        <v>10</v>
      </c>
      <c r="H7" s="7" t="s">
        <v>11</v>
      </c>
      <c r="I7" s="7" t="s">
        <v>12</v>
      </c>
      <c r="J7" s="8" t="s">
        <v>13</v>
      </c>
      <c r="K7" s="8" t="s">
        <v>14</v>
      </c>
      <c r="L7" s="7" t="s">
        <v>15</v>
      </c>
      <c r="M7" s="7" t="s">
        <v>16</v>
      </c>
      <c r="N7" s="7" t="s">
        <v>17</v>
      </c>
      <c r="O7" s="8" t="s">
        <v>18</v>
      </c>
      <c r="P7" s="7" t="s">
        <v>19</v>
      </c>
      <c r="Q7" s="7" t="s">
        <v>20</v>
      </c>
      <c r="R7" s="7" t="s">
        <v>21</v>
      </c>
      <c r="S7" s="7" t="s">
        <v>22</v>
      </c>
      <c r="T7" s="7" t="s">
        <v>23</v>
      </c>
      <c r="U7" s="7" t="s">
        <v>24</v>
      </c>
      <c r="V7" s="7" t="s">
        <v>25</v>
      </c>
    </row>
    <row r="8" spans="1:23" s="35" customFormat="1" ht="32.25" customHeight="1" x14ac:dyDescent="0.35">
      <c r="A8" s="37">
        <v>1</v>
      </c>
      <c r="B8" s="32"/>
      <c r="C8" s="32"/>
      <c r="D8" s="36" t="s">
        <v>442</v>
      </c>
      <c r="E8" s="32" t="s">
        <v>359</v>
      </c>
      <c r="F8" s="32">
        <v>66</v>
      </c>
      <c r="G8" s="32" t="s">
        <v>364</v>
      </c>
      <c r="H8" s="142" t="s">
        <v>365</v>
      </c>
      <c r="I8" s="142" t="s">
        <v>42</v>
      </c>
      <c r="J8" s="32"/>
      <c r="K8" s="32"/>
      <c r="L8" s="142" t="s">
        <v>33</v>
      </c>
      <c r="M8" s="142" t="s">
        <v>34</v>
      </c>
      <c r="N8" s="142" t="s">
        <v>28</v>
      </c>
      <c r="O8" s="176">
        <v>1073100</v>
      </c>
      <c r="P8" s="176">
        <v>1073100</v>
      </c>
      <c r="Q8" s="37">
        <v>5</v>
      </c>
      <c r="R8" s="147">
        <f>P8*Q8</f>
        <v>5365500</v>
      </c>
      <c r="S8" s="36" t="s">
        <v>360</v>
      </c>
      <c r="T8" s="36" t="s">
        <v>361</v>
      </c>
      <c r="U8" s="36" t="s">
        <v>362</v>
      </c>
      <c r="V8" s="32" t="s">
        <v>345</v>
      </c>
      <c r="W8" s="37" t="s">
        <v>335</v>
      </c>
    </row>
    <row r="9" spans="1:23" s="35" customFormat="1" ht="32.25" customHeight="1" x14ac:dyDescent="0.35">
      <c r="A9" s="37">
        <v>2</v>
      </c>
      <c r="B9" s="32"/>
      <c r="C9" s="32"/>
      <c r="D9" s="36" t="s">
        <v>441</v>
      </c>
      <c r="E9" s="32" t="s">
        <v>352</v>
      </c>
      <c r="F9" s="32">
        <v>66</v>
      </c>
      <c r="G9" s="32" t="s">
        <v>353</v>
      </c>
      <c r="H9" s="142" t="s">
        <v>49</v>
      </c>
      <c r="I9" s="142" t="s">
        <v>42</v>
      </c>
      <c r="J9" s="32"/>
      <c r="K9" s="32"/>
      <c r="L9" s="142" t="s">
        <v>33</v>
      </c>
      <c r="M9" s="142" t="s">
        <v>34</v>
      </c>
      <c r="N9" s="142" t="s">
        <v>28</v>
      </c>
      <c r="O9" s="176">
        <v>1073100</v>
      </c>
      <c r="P9" s="176">
        <v>1073100</v>
      </c>
      <c r="Q9" s="37">
        <v>5</v>
      </c>
      <c r="R9" s="147">
        <f t="shared" ref="R9:R12" si="0">P9*Q9</f>
        <v>5365500</v>
      </c>
      <c r="S9" s="36" t="s">
        <v>354</v>
      </c>
      <c r="T9" s="36" t="s">
        <v>355</v>
      </c>
      <c r="U9" s="36" t="s">
        <v>356</v>
      </c>
      <c r="V9" s="32" t="s">
        <v>36</v>
      </c>
      <c r="W9" s="37" t="s">
        <v>335</v>
      </c>
    </row>
    <row r="10" spans="1:23" s="35" customFormat="1" ht="32.25" customHeight="1" x14ac:dyDescent="0.35">
      <c r="A10" s="37">
        <v>3</v>
      </c>
      <c r="B10" s="32"/>
      <c r="C10" s="32"/>
      <c r="D10" s="36" t="s">
        <v>440</v>
      </c>
      <c r="E10" s="32" t="s">
        <v>450</v>
      </c>
      <c r="F10" s="32">
        <v>66</v>
      </c>
      <c r="G10" s="32" t="s">
        <v>353</v>
      </c>
      <c r="H10" s="142" t="s">
        <v>49</v>
      </c>
      <c r="I10" s="142" t="s">
        <v>42</v>
      </c>
      <c r="J10" s="32"/>
      <c r="K10" s="32"/>
      <c r="L10" s="142" t="s">
        <v>33</v>
      </c>
      <c r="M10" s="142" t="s">
        <v>34</v>
      </c>
      <c r="N10" s="142" t="s">
        <v>28</v>
      </c>
      <c r="O10" s="176">
        <v>1073100</v>
      </c>
      <c r="P10" s="176">
        <v>1073100</v>
      </c>
      <c r="Q10" s="37">
        <v>5</v>
      </c>
      <c r="R10" s="147">
        <f>P10*Q10</f>
        <v>5365500</v>
      </c>
      <c r="S10" s="36" t="s">
        <v>366</v>
      </c>
      <c r="T10" s="36" t="s">
        <v>367</v>
      </c>
      <c r="U10" s="36" t="s">
        <v>368</v>
      </c>
      <c r="V10" s="32" t="s">
        <v>36</v>
      </c>
      <c r="W10" s="37" t="s">
        <v>335</v>
      </c>
    </row>
    <row r="11" spans="1:23" s="35" customFormat="1" ht="32.25" customHeight="1" x14ac:dyDescent="0.35">
      <c r="A11" s="37">
        <v>4</v>
      </c>
      <c r="B11" s="32"/>
      <c r="C11" s="32"/>
      <c r="D11" s="36" t="s">
        <v>438</v>
      </c>
      <c r="E11" s="32" t="s">
        <v>437</v>
      </c>
      <c r="F11" s="32">
        <v>66</v>
      </c>
      <c r="G11" s="32" t="s">
        <v>353</v>
      </c>
      <c r="H11" s="142" t="s">
        <v>49</v>
      </c>
      <c r="I11" s="142" t="s">
        <v>42</v>
      </c>
      <c r="J11" s="32"/>
      <c r="K11" s="32"/>
      <c r="L11" s="122" t="s">
        <v>26</v>
      </c>
      <c r="M11" s="142" t="s">
        <v>27</v>
      </c>
      <c r="N11" s="142" t="s">
        <v>28</v>
      </c>
      <c r="O11" s="176">
        <v>1533000</v>
      </c>
      <c r="P11" s="176">
        <v>1533000</v>
      </c>
      <c r="Q11" s="37">
        <v>5</v>
      </c>
      <c r="R11" s="147">
        <f t="shared" si="0"/>
        <v>7665000</v>
      </c>
      <c r="S11" s="36" t="s">
        <v>394</v>
      </c>
      <c r="T11" s="36" t="s">
        <v>358</v>
      </c>
      <c r="U11" s="36" t="s">
        <v>358</v>
      </c>
      <c r="V11" s="32" t="s">
        <v>36</v>
      </c>
      <c r="W11" s="37" t="s">
        <v>335</v>
      </c>
    </row>
    <row r="12" spans="1:23" s="35" customFormat="1" ht="32.25" customHeight="1" x14ac:dyDescent="0.35">
      <c r="A12" s="37">
        <v>5</v>
      </c>
      <c r="B12" s="32"/>
      <c r="C12" s="32"/>
      <c r="D12" s="202" t="s">
        <v>439</v>
      </c>
      <c r="E12" s="32" t="s">
        <v>347</v>
      </c>
      <c r="F12" s="32">
        <v>66</v>
      </c>
      <c r="G12" s="32" t="s">
        <v>344</v>
      </c>
      <c r="H12" s="142" t="s">
        <v>49</v>
      </c>
      <c r="I12" s="142" t="s">
        <v>42</v>
      </c>
      <c r="J12" s="32"/>
      <c r="K12" s="32"/>
      <c r="L12" s="142" t="s">
        <v>33</v>
      </c>
      <c r="M12" s="142" t="s">
        <v>34</v>
      </c>
      <c r="N12" s="142" t="s">
        <v>28</v>
      </c>
      <c r="O12" s="176">
        <v>1533000</v>
      </c>
      <c r="P12" s="176">
        <v>1533000</v>
      </c>
      <c r="Q12" s="37">
        <v>5</v>
      </c>
      <c r="R12" s="147">
        <f t="shared" si="0"/>
        <v>7665000</v>
      </c>
      <c r="S12" s="36" t="s">
        <v>348</v>
      </c>
      <c r="T12" s="36" t="s">
        <v>349</v>
      </c>
      <c r="U12" s="36" t="s">
        <v>350</v>
      </c>
      <c r="V12" s="32" t="s">
        <v>351</v>
      </c>
      <c r="W12" s="37" t="s">
        <v>335</v>
      </c>
    </row>
    <row r="13" spans="1:23" s="35" customFormat="1" ht="32.25" customHeight="1" x14ac:dyDescent="0.35">
      <c r="A13" s="37">
        <v>6</v>
      </c>
      <c r="B13" s="32"/>
      <c r="C13" s="32"/>
      <c r="D13" s="159" t="s">
        <v>419</v>
      </c>
      <c r="E13" s="142" t="s">
        <v>420</v>
      </c>
      <c r="F13" s="142">
        <v>66</v>
      </c>
      <c r="G13" s="150" t="s">
        <v>364</v>
      </c>
      <c r="H13" s="142" t="s">
        <v>425</v>
      </c>
      <c r="I13" s="142" t="s">
        <v>42</v>
      </c>
      <c r="L13" s="122" t="s">
        <v>400</v>
      </c>
      <c r="M13" s="142" t="s">
        <v>453</v>
      </c>
      <c r="N13" s="142"/>
      <c r="O13" s="142"/>
      <c r="P13" s="176">
        <v>1533000</v>
      </c>
      <c r="Q13" s="176">
        <v>5</v>
      </c>
      <c r="R13" s="176">
        <v>7665000</v>
      </c>
      <c r="S13" s="144" t="s">
        <v>422</v>
      </c>
      <c r="T13" s="144" t="s">
        <v>423</v>
      </c>
      <c r="U13" s="145" t="s">
        <v>424</v>
      </c>
      <c r="V13" s="94" t="s">
        <v>36</v>
      </c>
      <c r="W13" s="37" t="s">
        <v>335</v>
      </c>
    </row>
    <row r="14" spans="1:23" s="35" customFormat="1" ht="32.25" customHeight="1" x14ac:dyDescent="0.35">
      <c r="A14" s="37">
        <v>7</v>
      </c>
      <c r="B14" s="32"/>
      <c r="C14" s="32"/>
      <c r="D14" s="159" t="s">
        <v>428</v>
      </c>
      <c r="E14" s="142" t="s">
        <v>429</v>
      </c>
      <c r="F14" s="142">
        <v>66</v>
      </c>
      <c r="G14" s="142" t="s">
        <v>364</v>
      </c>
      <c r="H14" s="142" t="s">
        <v>425</v>
      </c>
      <c r="I14" s="142" t="s">
        <v>42</v>
      </c>
      <c r="L14" s="122" t="s">
        <v>430</v>
      </c>
      <c r="M14" s="33" t="s">
        <v>27</v>
      </c>
      <c r="N14" s="142"/>
      <c r="O14" s="176">
        <v>1533000</v>
      </c>
      <c r="P14" s="176">
        <v>1533000</v>
      </c>
      <c r="Q14" s="37">
        <v>5</v>
      </c>
      <c r="R14" s="147">
        <f>P14*Q14</f>
        <v>7665000</v>
      </c>
      <c r="S14" s="36" t="s">
        <v>431</v>
      </c>
      <c r="T14" s="36" t="s">
        <v>432</v>
      </c>
      <c r="U14" s="36" t="s">
        <v>433</v>
      </c>
      <c r="V14" s="32" t="s">
        <v>351</v>
      </c>
      <c r="W14" s="37" t="s">
        <v>335</v>
      </c>
    </row>
    <row r="15" spans="1:23" s="35" customFormat="1" ht="32.25" customHeight="1" x14ac:dyDescent="0.35">
      <c r="A15" s="37">
        <v>8</v>
      </c>
      <c r="B15" s="32"/>
      <c r="C15" s="32"/>
      <c r="D15" s="141" t="s">
        <v>443</v>
      </c>
      <c r="E15" s="142" t="s">
        <v>444</v>
      </c>
      <c r="F15" s="142">
        <v>66</v>
      </c>
      <c r="G15" s="142" t="s">
        <v>364</v>
      </c>
      <c r="H15" s="142" t="s">
        <v>425</v>
      </c>
      <c r="I15" s="33" t="s">
        <v>42</v>
      </c>
      <c r="L15" s="149" t="s">
        <v>26</v>
      </c>
      <c r="M15" s="33" t="s">
        <v>27</v>
      </c>
      <c r="N15" s="33" t="s">
        <v>28</v>
      </c>
      <c r="O15" s="34">
        <v>1533000</v>
      </c>
      <c r="P15" s="34">
        <v>1533000</v>
      </c>
      <c r="Q15" s="37">
        <v>5</v>
      </c>
      <c r="R15" s="147">
        <f>P15*Q15</f>
        <v>7665000</v>
      </c>
      <c r="S15" s="36" t="s">
        <v>445</v>
      </c>
      <c r="T15" s="36" t="s">
        <v>446</v>
      </c>
      <c r="U15" s="36" t="s">
        <v>447</v>
      </c>
      <c r="V15" s="94" t="s">
        <v>36</v>
      </c>
      <c r="W15" s="37" t="s">
        <v>335</v>
      </c>
    </row>
    <row r="16" spans="1:23" s="10" customFormat="1" ht="36.75" customHeight="1" x14ac:dyDescent="0.35">
      <c r="A16" s="207" t="s">
        <v>319</v>
      </c>
      <c r="B16" s="207"/>
      <c r="C16" s="207"/>
      <c r="D16" s="207"/>
      <c r="E16" s="207"/>
      <c r="F16" s="207"/>
      <c r="G16" s="207"/>
      <c r="H16" s="207"/>
      <c r="I16" s="207"/>
      <c r="J16" s="207"/>
      <c r="K16" s="207"/>
      <c r="L16" s="207"/>
      <c r="M16" s="207"/>
      <c r="N16" s="207"/>
      <c r="O16" s="11"/>
      <c r="P16" s="11">
        <f>SUM(P8:P15)</f>
        <v>10884300</v>
      </c>
      <c r="Q16" s="11"/>
      <c r="R16" s="11">
        <f>SUM(R8:R15)</f>
        <v>54421500</v>
      </c>
      <c r="S16" s="12"/>
      <c r="T16" s="12"/>
      <c r="U16" s="12"/>
      <c r="V16" s="12"/>
    </row>
    <row r="17" spans="1:23" ht="31.5" customHeight="1" x14ac:dyDescent="0.35">
      <c r="A17" s="13" t="s">
        <v>451</v>
      </c>
      <c r="B17" s="1"/>
      <c r="C17" s="1"/>
      <c r="D17" s="1"/>
      <c r="E17" s="1"/>
      <c r="F17" s="1"/>
      <c r="G17" s="14"/>
      <c r="H17" s="14"/>
      <c r="I17" s="1"/>
      <c r="J17" s="1"/>
      <c r="K17" s="1"/>
      <c r="L17" s="14"/>
      <c r="M17" s="15"/>
      <c r="N17" s="15"/>
      <c r="O17" s="15"/>
      <c r="P17" s="15"/>
      <c r="Q17" s="15"/>
      <c r="R17" s="15"/>
      <c r="S17" s="15"/>
      <c r="T17" s="15"/>
      <c r="U17" s="15"/>
      <c r="V17" s="15"/>
    </row>
    <row r="18" spans="1:23" ht="20.5" x14ac:dyDescent="0.35">
      <c r="A18" s="15"/>
      <c r="B18" s="15"/>
      <c r="C18" s="15"/>
      <c r="D18" s="15"/>
      <c r="E18" s="15"/>
      <c r="F18" s="15"/>
      <c r="G18" s="16"/>
      <c r="H18" s="16"/>
      <c r="I18" s="15"/>
      <c r="J18" s="15"/>
      <c r="K18" s="15"/>
      <c r="L18" s="16"/>
      <c r="M18" s="15"/>
      <c r="N18" s="15"/>
      <c r="O18" s="15"/>
      <c r="P18" s="15"/>
      <c r="Q18" s="15"/>
      <c r="R18" s="15"/>
      <c r="S18" s="15"/>
      <c r="T18" s="15"/>
      <c r="U18" s="15"/>
      <c r="V18" s="15"/>
    </row>
    <row r="19" spans="1:23" s="17" customFormat="1" ht="28" x14ac:dyDescent="0.35">
      <c r="A19" s="21"/>
      <c r="B19" s="21"/>
      <c r="C19" s="21"/>
      <c r="D19" s="21"/>
      <c r="E19" s="21"/>
      <c r="F19" s="21"/>
      <c r="G19" s="22"/>
      <c r="H19" s="22"/>
      <c r="I19" s="21"/>
      <c r="J19" s="21"/>
      <c r="K19" s="21"/>
      <c r="L19" s="22"/>
      <c r="M19" s="21"/>
      <c r="Q19" s="21"/>
      <c r="R19" s="208" t="s">
        <v>363</v>
      </c>
      <c r="S19" s="208"/>
      <c r="T19" s="208"/>
      <c r="U19" s="208"/>
      <c r="V19" s="38"/>
      <c r="W19" s="26"/>
    </row>
    <row r="20" spans="1:23" ht="27.5" x14ac:dyDescent="0.35">
      <c r="A20" s="209" t="s">
        <v>321</v>
      </c>
      <c r="B20" s="209"/>
      <c r="C20" s="209"/>
      <c r="D20" s="209"/>
      <c r="E20" s="209"/>
      <c r="F20" s="23"/>
      <c r="G20" s="24"/>
      <c r="H20" s="24"/>
      <c r="I20" s="23"/>
      <c r="J20" s="23"/>
      <c r="K20" s="23"/>
      <c r="L20" s="24"/>
      <c r="M20" s="23"/>
      <c r="Q20" s="210" t="s">
        <v>342</v>
      </c>
      <c r="R20" s="210"/>
      <c r="S20" s="210"/>
      <c r="T20" s="210"/>
      <c r="U20" s="23"/>
      <c r="V20" s="23"/>
      <c r="W20" s="23"/>
    </row>
    <row r="21" spans="1:23" ht="28" x14ac:dyDescent="0.35">
      <c r="A21" s="21"/>
      <c r="B21" s="21"/>
      <c r="C21" s="21"/>
      <c r="D21" s="21"/>
      <c r="E21" s="21"/>
      <c r="F21" s="21"/>
      <c r="G21" s="22"/>
      <c r="H21" s="22"/>
      <c r="I21" s="21"/>
      <c r="J21" s="21"/>
      <c r="K21" s="21"/>
      <c r="L21" s="22"/>
      <c r="M21" s="21"/>
      <c r="N21" s="21"/>
      <c r="O21" s="21"/>
      <c r="P21" s="21"/>
      <c r="Q21" s="23"/>
      <c r="R21" s="23"/>
      <c r="S21" s="23"/>
      <c r="T21" s="23"/>
      <c r="U21" s="21"/>
      <c r="V21" s="21"/>
      <c r="W21" s="21"/>
    </row>
    <row r="22" spans="1:23" ht="28" x14ac:dyDescent="0.35">
      <c r="A22" s="21"/>
      <c r="B22" s="21"/>
      <c r="C22" s="21"/>
      <c r="D22" s="21"/>
      <c r="E22" s="21"/>
      <c r="F22" s="21"/>
      <c r="G22" s="22"/>
      <c r="H22" s="22"/>
      <c r="I22" s="21"/>
      <c r="J22" s="21"/>
      <c r="K22" s="21"/>
      <c r="L22" s="22"/>
      <c r="M22" s="21"/>
      <c r="N22" s="21"/>
      <c r="O22" s="21"/>
      <c r="P22" s="21"/>
      <c r="Q22" s="23"/>
      <c r="R22" s="23"/>
      <c r="S22" s="23"/>
      <c r="T22" s="23"/>
      <c r="U22" s="21"/>
      <c r="V22" s="21"/>
      <c r="W22" s="21"/>
    </row>
    <row r="23" spans="1:23" x14ac:dyDescent="0.35">
      <c r="Q23" s="9"/>
      <c r="R23" s="9"/>
      <c r="S23" s="9"/>
      <c r="T23" s="9"/>
    </row>
    <row r="24" spans="1:23" x14ac:dyDescent="0.35">
      <c r="Q24" s="9"/>
      <c r="R24" s="9"/>
      <c r="S24" s="9"/>
      <c r="T24" s="9"/>
    </row>
    <row r="25" spans="1:23" ht="33.75" customHeight="1" x14ac:dyDescent="0.35">
      <c r="Q25" s="9"/>
      <c r="R25" s="9" t="s">
        <v>341</v>
      </c>
      <c r="S25" s="9"/>
      <c r="T25" s="9" t="s">
        <v>336</v>
      </c>
    </row>
  </sheetData>
  <mergeCells count="11">
    <mergeCell ref="A16:N16"/>
    <mergeCell ref="A20:E20"/>
    <mergeCell ref="A1:E1"/>
    <mergeCell ref="M1:V1"/>
    <mergeCell ref="A2:E2"/>
    <mergeCell ref="M2:V2"/>
    <mergeCell ref="A4:V4"/>
    <mergeCell ref="A5:V5"/>
    <mergeCell ref="A3:E3"/>
    <mergeCell ref="Q20:T20"/>
    <mergeCell ref="R19:U19"/>
  </mergeCells>
  <phoneticPr fontId="24" type="noConversion"/>
  <conditionalFormatting sqref="D11">
    <cfRule type="duplicateValues" dxfId="167" priority="9"/>
    <cfRule type="duplicateValues" dxfId="166" priority="10"/>
  </conditionalFormatting>
  <conditionalFormatting sqref="D12 D8:D10">
    <cfRule type="duplicateValues" dxfId="165" priority="19"/>
    <cfRule type="duplicateValues" dxfId="164" priority="20"/>
  </conditionalFormatting>
  <conditionalFormatting sqref="D13">
    <cfRule type="duplicateValues" dxfId="163" priority="16"/>
    <cfRule type="duplicateValues" dxfId="162" priority="17"/>
    <cfRule type="duplicateValues" dxfId="161" priority="18"/>
  </conditionalFormatting>
  <conditionalFormatting sqref="D14">
    <cfRule type="duplicateValues" dxfId="160" priority="12"/>
    <cfRule type="duplicateValues" dxfId="159" priority="13"/>
    <cfRule type="duplicateValues" dxfId="158" priority="14"/>
  </conditionalFormatting>
  <conditionalFormatting sqref="D15">
    <cfRule type="duplicateValues" dxfId="157" priority="2"/>
    <cfRule type="duplicateValues" dxfId="156" priority="3"/>
    <cfRule type="duplicateValues" dxfId="155" priority="4"/>
  </conditionalFormatting>
  <conditionalFormatting sqref="D17:D18">
    <cfRule type="duplicateValues" dxfId="154" priority="79"/>
  </conditionalFormatting>
  <conditionalFormatting sqref="D19 D21">
    <cfRule type="duplicateValues" dxfId="153" priority="29"/>
    <cfRule type="duplicateValues" dxfId="152" priority="30"/>
    <cfRule type="duplicateValues" dxfId="151" priority="31"/>
    <cfRule type="duplicateValues" dxfId="150" priority="36"/>
  </conditionalFormatting>
  <conditionalFormatting sqref="D22">
    <cfRule type="duplicateValues" dxfId="149" priority="32"/>
    <cfRule type="duplicateValues" dxfId="148" priority="33"/>
    <cfRule type="duplicateValues" dxfId="147" priority="34"/>
    <cfRule type="duplicateValues" dxfId="146" priority="35"/>
  </conditionalFormatting>
  <conditionalFormatting sqref="D23:D1048576 D7">
    <cfRule type="duplicateValues" dxfId="145" priority="99"/>
    <cfRule type="duplicateValues" dxfId="144" priority="100"/>
  </conditionalFormatting>
  <conditionalFormatting sqref="D23:D1048576">
    <cfRule type="duplicateValues" dxfId="143" priority="76"/>
    <cfRule type="duplicateValues" dxfId="142" priority="77"/>
  </conditionalFormatting>
  <conditionalFormatting sqref="E13">
    <cfRule type="duplicateValues" dxfId="141" priority="15"/>
  </conditionalFormatting>
  <conditionalFormatting sqref="E14">
    <cfRule type="duplicateValues" dxfId="140" priority="11"/>
  </conditionalFormatting>
  <conditionalFormatting sqref="E15">
    <cfRule type="duplicateValues" dxfId="139" priority="1"/>
  </conditionalFormatting>
  <printOptions horizontalCentered="1"/>
  <pageMargins left="0.19685039370078741" right="0.19685039370078741" top="0.19685039370078741" bottom="0.19685039370078741" header="0.11811023622047245" footer="0.11811023622047245"/>
  <pageSetup paperSize="9" scale="47" fitToHeight="0" orientation="landscape" r:id="rId1"/>
  <headerFoot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EAEE9-F9FC-488B-82C7-31CE1CA5FA16}">
  <dimension ref="A1:Q25"/>
  <sheetViews>
    <sheetView topLeftCell="C1" zoomScale="57" zoomScaleNormal="40" workbookViewId="0">
      <selection activeCell="A5" sqref="A5:P5"/>
    </sheetView>
  </sheetViews>
  <sheetFormatPr defaultRowHeight="15.5" x14ac:dyDescent="0.35"/>
  <cols>
    <col min="1" max="1" width="7" customWidth="1"/>
    <col min="2" max="2" width="18.58203125" customWidth="1"/>
    <col min="3" max="3" width="19.08203125" customWidth="1"/>
    <col min="4" max="4" width="7.75" customWidth="1"/>
    <col min="5" max="5" width="7.5" customWidth="1"/>
    <col min="6" max="6" width="19.08203125" customWidth="1"/>
    <col min="7" max="7" width="15.75" customWidth="1"/>
    <col min="8" max="8" width="12.75" customWidth="1"/>
    <col min="9" max="9" width="9.83203125" customWidth="1"/>
    <col min="10" max="10" width="11.08203125" customWidth="1"/>
    <col min="11" max="11" width="6.83203125" customWidth="1"/>
    <col min="12" max="12" width="11.58203125" customWidth="1"/>
    <col min="13" max="13" width="16" customWidth="1"/>
    <col min="14" max="14" width="12.33203125" bestFit="1" customWidth="1"/>
    <col min="15" max="15" width="19" customWidth="1"/>
    <col min="16" max="16" width="15.08203125" customWidth="1"/>
    <col min="17" max="17" width="9.83203125" customWidth="1"/>
  </cols>
  <sheetData>
    <row r="1" spans="1:17" ht="16.5" x14ac:dyDescent="0.35">
      <c r="A1" s="213" t="s">
        <v>0</v>
      </c>
      <c r="B1" s="213"/>
      <c r="C1" s="213"/>
      <c r="D1" s="213"/>
      <c r="E1" s="44"/>
      <c r="F1" s="45"/>
      <c r="G1" s="46"/>
      <c r="H1" s="46"/>
      <c r="I1" s="214" t="s">
        <v>1</v>
      </c>
      <c r="J1" s="214"/>
      <c r="K1" s="214"/>
      <c r="L1" s="214"/>
      <c r="M1" s="215"/>
      <c r="N1" s="214"/>
      <c r="O1" s="214"/>
      <c r="P1" s="214"/>
      <c r="Q1" s="47"/>
    </row>
    <row r="2" spans="1:17" ht="16.5" x14ac:dyDescent="0.35">
      <c r="A2" s="212" t="s">
        <v>2</v>
      </c>
      <c r="B2" s="212"/>
      <c r="C2" s="212"/>
      <c r="D2" s="212"/>
      <c r="E2" s="44"/>
      <c r="F2" s="45"/>
      <c r="G2" s="46"/>
      <c r="H2" s="46"/>
      <c r="I2" s="214" t="s">
        <v>3</v>
      </c>
      <c r="J2" s="214"/>
      <c r="K2" s="214"/>
      <c r="L2" s="214"/>
      <c r="M2" s="215"/>
      <c r="N2" s="214"/>
      <c r="O2" s="214"/>
      <c r="P2" s="214"/>
      <c r="Q2" s="47"/>
    </row>
    <row r="3" spans="1:17" ht="16.5" x14ac:dyDescent="0.35">
      <c r="A3" s="48"/>
      <c r="B3" s="48"/>
      <c r="C3" s="48"/>
      <c r="D3" s="48"/>
      <c r="E3" s="49"/>
      <c r="F3" s="45"/>
      <c r="G3" s="46"/>
      <c r="H3" s="46"/>
      <c r="I3" s="46"/>
      <c r="J3" s="50"/>
      <c r="K3" s="46"/>
      <c r="L3" s="50"/>
      <c r="M3" s="46"/>
      <c r="N3" s="46"/>
      <c r="O3" s="46"/>
      <c r="P3" s="48"/>
      <c r="Q3" s="47"/>
    </row>
    <row r="4" spans="1:17" ht="16.5" x14ac:dyDescent="0.35">
      <c r="A4" s="212" t="s">
        <v>369</v>
      </c>
      <c r="B4" s="212"/>
      <c r="C4" s="212"/>
      <c r="D4" s="212"/>
      <c r="E4" s="212"/>
      <c r="F4" s="212"/>
      <c r="G4" s="212"/>
      <c r="H4" s="212"/>
      <c r="I4" s="212"/>
      <c r="J4" s="212"/>
      <c r="K4" s="212"/>
      <c r="L4" s="212"/>
      <c r="M4" s="212"/>
      <c r="N4" s="212"/>
      <c r="O4" s="212"/>
      <c r="P4" s="212"/>
      <c r="Q4" s="51"/>
    </row>
    <row r="5" spans="1:17" ht="16.5" x14ac:dyDescent="0.35">
      <c r="A5" s="212" t="s">
        <v>436</v>
      </c>
      <c r="B5" s="212"/>
      <c r="C5" s="212"/>
      <c r="D5" s="212"/>
      <c r="E5" s="212"/>
      <c r="F5" s="212"/>
      <c r="G5" s="212"/>
      <c r="H5" s="212"/>
      <c r="I5" s="212"/>
      <c r="J5" s="212"/>
      <c r="K5" s="212"/>
      <c r="L5" s="212"/>
      <c r="M5" s="212"/>
      <c r="N5" s="212"/>
      <c r="O5" s="212"/>
      <c r="P5" s="212"/>
      <c r="Q5" s="51"/>
    </row>
    <row r="6" spans="1:17" ht="16.5" x14ac:dyDescent="0.35">
      <c r="A6" s="211" t="s">
        <v>370</v>
      </c>
      <c r="B6" s="211"/>
      <c r="C6" s="211"/>
      <c r="D6" s="211"/>
      <c r="E6" s="211"/>
      <c r="F6" s="211"/>
      <c r="G6" s="211"/>
      <c r="H6" s="211"/>
      <c r="I6" s="211"/>
      <c r="J6" s="211"/>
      <c r="K6" s="211"/>
      <c r="L6" s="211"/>
      <c r="M6" s="211"/>
      <c r="N6" s="211"/>
      <c r="O6" s="211"/>
      <c r="P6" s="211"/>
      <c r="Q6" s="51"/>
    </row>
    <row r="7" spans="1:17" ht="16.5" x14ac:dyDescent="0.35">
      <c r="A7" s="52"/>
      <c r="B7" s="52"/>
      <c r="C7" s="52"/>
      <c r="D7" s="52"/>
      <c r="E7" s="52"/>
      <c r="F7" s="53"/>
      <c r="G7" s="52"/>
      <c r="H7" s="52"/>
      <c r="I7" s="52"/>
      <c r="J7" s="54"/>
      <c r="K7" s="52"/>
      <c r="L7" s="54"/>
      <c r="M7" s="52"/>
      <c r="N7" s="52"/>
      <c r="O7" s="52"/>
      <c r="P7" s="52"/>
      <c r="Q7" s="47"/>
    </row>
    <row r="8" spans="1:17" ht="33" x14ac:dyDescent="0.35">
      <c r="A8" s="55" t="s">
        <v>371</v>
      </c>
      <c r="B8" s="55" t="s">
        <v>372</v>
      </c>
      <c r="C8" s="55" t="s">
        <v>8</v>
      </c>
      <c r="D8" s="55" t="s">
        <v>9</v>
      </c>
      <c r="E8" s="55" t="s">
        <v>10</v>
      </c>
      <c r="F8" s="55" t="s">
        <v>11</v>
      </c>
      <c r="G8" s="55" t="s">
        <v>373</v>
      </c>
      <c r="H8" s="55" t="s">
        <v>374</v>
      </c>
      <c r="I8" s="55" t="s">
        <v>375</v>
      </c>
      <c r="J8" s="56" t="s">
        <v>376</v>
      </c>
      <c r="K8" s="57" t="s">
        <v>20</v>
      </c>
      <c r="L8" s="56" t="s">
        <v>377</v>
      </c>
      <c r="M8" s="55" t="s">
        <v>378</v>
      </c>
      <c r="N8" s="57" t="s">
        <v>379</v>
      </c>
      <c r="O8" s="55" t="s">
        <v>380</v>
      </c>
      <c r="P8" s="55" t="s">
        <v>381</v>
      </c>
      <c r="Q8" s="42" t="s">
        <v>17</v>
      </c>
    </row>
    <row r="9" spans="1:17" s="41" customFormat="1" ht="28.5" customHeight="1" x14ac:dyDescent="0.35">
      <c r="A9" s="58">
        <v>1</v>
      </c>
      <c r="B9" s="65">
        <v>225748020110228</v>
      </c>
      <c r="C9" s="60" t="s">
        <v>136</v>
      </c>
      <c r="D9" s="60">
        <v>63</v>
      </c>
      <c r="E9" s="60" t="s">
        <v>126</v>
      </c>
      <c r="F9" s="60" t="s">
        <v>49</v>
      </c>
      <c r="G9" s="60" t="s">
        <v>42</v>
      </c>
      <c r="H9" s="60" t="s">
        <v>382</v>
      </c>
      <c r="I9" s="60" t="s">
        <v>28</v>
      </c>
      <c r="J9" s="61">
        <v>1404000</v>
      </c>
      <c r="K9" s="62" t="s">
        <v>383</v>
      </c>
      <c r="L9" s="61">
        <f t="shared" ref="L9:L14" si="0">J9*K9</f>
        <v>7020000</v>
      </c>
      <c r="M9" s="66" t="s">
        <v>137</v>
      </c>
      <c r="N9" s="63" t="s">
        <v>138</v>
      </c>
      <c r="O9" s="64" t="s">
        <v>139</v>
      </c>
      <c r="P9" s="60" t="s">
        <v>384</v>
      </c>
      <c r="Q9" s="42"/>
    </row>
    <row r="10" spans="1:17" s="41" customFormat="1" ht="28.5" customHeight="1" x14ac:dyDescent="0.35">
      <c r="A10" s="58">
        <v>2</v>
      </c>
      <c r="B10" s="59">
        <v>225748020110317</v>
      </c>
      <c r="C10" s="60" t="s">
        <v>141</v>
      </c>
      <c r="D10" s="60">
        <v>63</v>
      </c>
      <c r="E10" s="60" t="s">
        <v>142</v>
      </c>
      <c r="F10" s="60" t="s">
        <v>49</v>
      </c>
      <c r="G10" s="60" t="s">
        <v>42</v>
      </c>
      <c r="H10" s="60" t="s">
        <v>382</v>
      </c>
      <c r="I10" s="60" t="s">
        <v>28</v>
      </c>
      <c r="J10" s="61">
        <v>1404000</v>
      </c>
      <c r="K10" s="62" t="s">
        <v>383</v>
      </c>
      <c r="L10" s="61">
        <f t="shared" si="0"/>
        <v>7020000</v>
      </c>
      <c r="M10" s="66" t="s">
        <v>143</v>
      </c>
      <c r="N10" s="63" t="s">
        <v>144</v>
      </c>
      <c r="O10" s="64" t="s">
        <v>385</v>
      </c>
      <c r="P10" s="60" t="s">
        <v>384</v>
      </c>
      <c r="Q10" s="42"/>
    </row>
    <row r="11" spans="1:17" s="41" customFormat="1" ht="28.5" customHeight="1" x14ac:dyDescent="0.35">
      <c r="A11" s="58">
        <v>3</v>
      </c>
      <c r="B11" s="65">
        <v>225748020110026</v>
      </c>
      <c r="C11" s="67" t="s">
        <v>147</v>
      </c>
      <c r="D11" s="67">
        <v>63</v>
      </c>
      <c r="E11" s="67" t="s">
        <v>44</v>
      </c>
      <c r="F11" s="67" t="s">
        <v>49</v>
      </c>
      <c r="G11" s="67" t="s">
        <v>42</v>
      </c>
      <c r="H11" s="67" t="s">
        <v>382</v>
      </c>
      <c r="I11" s="67" t="s">
        <v>28</v>
      </c>
      <c r="J11" s="61">
        <v>1404000</v>
      </c>
      <c r="K11" s="68">
        <v>5</v>
      </c>
      <c r="L11" s="69">
        <f t="shared" si="0"/>
        <v>7020000</v>
      </c>
      <c r="M11" s="70" t="s">
        <v>148</v>
      </c>
      <c r="N11" s="70" t="s">
        <v>149</v>
      </c>
      <c r="O11" s="71">
        <v>108877362928</v>
      </c>
      <c r="P11" s="72" t="s">
        <v>384</v>
      </c>
      <c r="Q11" s="42"/>
    </row>
    <row r="12" spans="1:17" s="41" customFormat="1" ht="28.5" customHeight="1" x14ac:dyDescent="0.35">
      <c r="A12" s="58">
        <v>4</v>
      </c>
      <c r="B12" s="65">
        <v>235748020110293</v>
      </c>
      <c r="C12" s="60" t="s">
        <v>40</v>
      </c>
      <c r="D12" s="60">
        <v>64</v>
      </c>
      <c r="E12" s="60" t="s">
        <v>191</v>
      </c>
      <c r="F12" s="60" t="s">
        <v>49</v>
      </c>
      <c r="G12" s="60" t="s">
        <v>42</v>
      </c>
      <c r="H12" s="60" t="s">
        <v>382</v>
      </c>
      <c r="I12" s="60" t="s">
        <v>28</v>
      </c>
      <c r="J12" s="61">
        <v>1404000</v>
      </c>
      <c r="K12" s="62" t="s">
        <v>383</v>
      </c>
      <c r="L12" s="61">
        <f t="shared" si="0"/>
        <v>7020000</v>
      </c>
      <c r="M12" s="66" t="s">
        <v>196</v>
      </c>
      <c r="N12" s="73" t="s">
        <v>197</v>
      </c>
      <c r="O12" s="74" t="s">
        <v>198</v>
      </c>
      <c r="P12" s="72" t="s">
        <v>36</v>
      </c>
      <c r="Q12" s="42"/>
    </row>
    <row r="13" spans="1:17" s="41" customFormat="1" ht="28.5" customHeight="1" x14ac:dyDescent="0.35">
      <c r="A13" s="58">
        <v>5</v>
      </c>
      <c r="B13" s="75">
        <v>245748020110016</v>
      </c>
      <c r="C13" s="76" t="s">
        <v>204</v>
      </c>
      <c r="D13" s="72">
        <v>65</v>
      </c>
      <c r="E13" s="58" t="s">
        <v>41</v>
      </c>
      <c r="F13" s="58" t="s">
        <v>49</v>
      </c>
      <c r="G13" s="58" t="s">
        <v>42</v>
      </c>
      <c r="H13" s="58" t="s">
        <v>386</v>
      </c>
      <c r="I13" s="58" t="s">
        <v>28</v>
      </c>
      <c r="J13" s="61">
        <v>1404000</v>
      </c>
      <c r="K13" s="62" t="s">
        <v>383</v>
      </c>
      <c r="L13" s="61">
        <f t="shared" si="0"/>
        <v>7020000</v>
      </c>
      <c r="M13" s="77" t="s">
        <v>205</v>
      </c>
      <c r="N13" s="78" t="s">
        <v>206</v>
      </c>
      <c r="O13" s="78" t="s">
        <v>207</v>
      </c>
      <c r="P13" s="76" t="s">
        <v>387</v>
      </c>
      <c r="Q13" s="42"/>
    </row>
    <row r="14" spans="1:17" s="41" customFormat="1" ht="28.5" customHeight="1" x14ac:dyDescent="0.35">
      <c r="A14" s="58">
        <v>6</v>
      </c>
      <c r="B14" s="80" t="s">
        <v>234</v>
      </c>
      <c r="C14" s="81" t="s">
        <v>235</v>
      </c>
      <c r="D14" s="72">
        <v>65</v>
      </c>
      <c r="E14" s="58" t="s">
        <v>225</v>
      </c>
      <c r="F14" s="58" t="s">
        <v>49</v>
      </c>
      <c r="G14" s="58" t="s">
        <v>42</v>
      </c>
      <c r="H14" s="58" t="s">
        <v>386</v>
      </c>
      <c r="I14" s="58" t="s">
        <v>28</v>
      </c>
      <c r="J14" s="61">
        <v>1404000</v>
      </c>
      <c r="K14" s="62" t="s">
        <v>383</v>
      </c>
      <c r="L14" s="61">
        <f t="shared" si="0"/>
        <v>7020000</v>
      </c>
      <c r="M14" s="82" t="s">
        <v>236</v>
      </c>
      <c r="N14" s="82" t="s">
        <v>237</v>
      </c>
      <c r="O14" s="82" t="s">
        <v>238</v>
      </c>
      <c r="P14" s="76" t="s">
        <v>36</v>
      </c>
      <c r="Q14" s="79"/>
    </row>
    <row r="15" spans="1:17" s="41" customFormat="1" ht="28.5" customHeight="1" x14ac:dyDescent="0.35">
      <c r="A15" s="58">
        <v>7</v>
      </c>
      <c r="B15" s="75">
        <v>245748010110034</v>
      </c>
      <c r="C15" s="76" t="s">
        <v>315</v>
      </c>
      <c r="D15" s="83">
        <v>65</v>
      </c>
      <c r="E15" s="72" t="s">
        <v>318</v>
      </c>
      <c r="F15" s="58" t="s">
        <v>286</v>
      </c>
      <c r="G15" s="58" t="s">
        <v>42</v>
      </c>
      <c r="H15" s="58" t="s">
        <v>386</v>
      </c>
      <c r="I15" s="58" t="s">
        <v>28</v>
      </c>
      <c r="J15" s="61">
        <v>1404000</v>
      </c>
      <c r="K15" s="62" t="s">
        <v>383</v>
      </c>
      <c r="L15" s="61">
        <f t="shared" ref="L15:L16" si="1">J15*K15</f>
        <v>7020000</v>
      </c>
      <c r="M15" s="84" t="s">
        <v>316</v>
      </c>
      <c r="N15" s="78" t="s">
        <v>317</v>
      </c>
      <c r="O15" s="78" t="s">
        <v>317</v>
      </c>
      <c r="P15" s="76" t="s">
        <v>345</v>
      </c>
      <c r="Q15" s="79"/>
    </row>
    <row r="16" spans="1:17" s="41" customFormat="1" ht="28.5" customHeight="1" x14ac:dyDescent="0.35">
      <c r="A16" s="58">
        <v>8</v>
      </c>
      <c r="B16" s="36" t="s">
        <v>438</v>
      </c>
      <c r="C16" s="32" t="s">
        <v>437</v>
      </c>
      <c r="D16" s="91">
        <v>66</v>
      </c>
      <c r="E16" s="32" t="s">
        <v>353</v>
      </c>
      <c r="F16" s="90" t="s">
        <v>49</v>
      </c>
      <c r="G16" s="90" t="s">
        <v>42</v>
      </c>
      <c r="H16" s="90" t="s">
        <v>386</v>
      </c>
      <c r="I16" s="90" t="s">
        <v>28</v>
      </c>
      <c r="J16" s="92">
        <v>1404000</v>
      </c>
      <c r="K16" s="93" t="s">
        <v>383</v>
      </c>
      <c r="L16" s="92">
        <f t="shared" si="1"/>
        <v>7020000</v>
      </c>
      <c r="M16" s="36" t="s">
        <v>394</v>
      </c>
      <c r="N16" s="36" t="s">
        <v>358</v>
      </c>
      <c r="O16" s="36" t="s">
        <v>449</v>
      </c>
      <c r="P16" s="32" t="s">
        <v>36</v>
      </c>
      <c r="Q16" s="79" t="s">
        <v>388</v>
      </c>
    </row>
    <row r="17" spans="1:17" s="41" customFormat="1" ht="28.5" customHeight="1" x14ac:dyDescent="0.35">
      <c r="A17" s="58">
        <v>9</v>
      </c>
      <c r="B17" s="141" t="s">
        <v>443</v>
      </c>
      <c r="C17" s="142" t="s">
        <v>444</v>
      </c>
      <c r="D17" s="142">
        <v>66</v>
      </c>
      <c r="E17" s="142" t="s">
        <v>364</v>
      </c>
      <c r="F17" s="142" t="s">
        <v>425</v>
      </c>
      <c r="G17" s="33" t="s">
        <v>42</v>
      </c>
      <c r="H17" s="90" t="s">
        <v>386</v>
      </c>
      <c r="I17" s="90" t="s">
        <v>28</v>
      </c>
      <c r="J17" s="92">
        <v>1404001</v>
      </c>
      <c r="K17" s="93" t="s">
        <v>383</v>
      </c>
      <c r="L17" s="92">
        <f t="shared" ref="L17" si="2">J17*K17</f>
        <v>7020005</v>
      </c>
      <c r="M17" s="36" t="s">
        <v>445</v>
      </c>
      <c r="N17" s="36" t="s">
        <v>446</v>
      </c>
      <c r="O17" s="36" t="s">
        <v>447</v>
      </c>
      <c r="P17" s="94" t="s">
        <v>36</v>
      </c>
      <c r="Q17" s="37" t="s">
        <v>335</v>
      </c>
    </row>
    <row r="18" spans="1:17" s="41" customFormat="1" ht="28.5" customHeight="1" x14ac:dyDescent="0.35">
      <c r="A18" s="216" t="s">
        <v>319</v>
      </c>
      <c r="B18" s="217"/>
      <c r="C18" s="217"/>
      <c r="D18" s="217"/>
      <c r="E18" s="217"/>
      <c r="F18" s="217"/>
      <c r="G18" s="217"/>
      <c r="H18" s="217"/>
      <c r="I18" s="218"/>
      <c r="J18" s="89">
        <f>SUM(J9:J17)</f>
        <v>12636001</v>
      </c>
      <c r="K18" s="83"/>
      <c r="L18" s="89">
        <f>SUM(L9:L17)</f>
        <v>63180005</v>
      </c>
      <c r="M18" s="58"/>
      <c r="N18" s="58"/>
      <c r="O18" s="58"/>
      <c r="P18" s="58"/>
      <c r="Q18" s="90"/>
    </row>
    <row r="19" spans="1:17" ht="16.5" x14ac:dyDescent="0.35">
      <c r="A19" s="52"/>
      <c r="B19" s="85" t="s">
        <v>395</v>
      </c>
      <c r="C19" s="85"/>
      <c r="D19" s="48"/>
      <c r="E19" s="48"/>
      <c r="F19" s="86"/>
      <c r="G19" s="86"/>
      <c r="H19" s="48"/>
      <c r="I19" s="48"/>
      <c r="J19" s="86"/>
      <c r="K19" s="86"/>
      <c r="L19" s="48"/>
      <c r="M19" s="48"/>
      <c r="N19" s="48"/>
      <c r="O19" s="48"/>
      <c r="P19" s="48"/>
      <c r="Q19" s="51"/>
    </row>
    <row r="20" spans="1:17" ht="16.5" x14ac:dyDescent="0.35">
      <c r="A20" s="52"/>
      <c r="B20" s="48"/>
      <c r="C20" s="48" t="s">
        <v>389</v>
      </c>
      <c r="D20" s="48"/>
      <c r="E20" s="48"/>
      <c r="F20" s="86"/>
      <c r="G20" s="86"/>
      <c r="H20" s="48"/>
      <c r="I20" s="48"/>
      <c r="J20" s="212" t="s">
        <v>390</v>
      </c>
      <c r="K20" s="212"/>
      <c r="L20" s="212"/>
      <c r="M20" s="212"/>
      <c r="N20" s="48"/>
      <c r="O20" s="48"/>
      <c r="P20" s="48"/>
      <c r="Q20" s="51"/>
    </row>
    <row r="21" spans="1:17" ht="16.5" x14ac:dyDescent="0.35">
      <c r="A21" s="52"/>
      <c r="B21" s="48"/>
      <c r="C21" s="48"/>
      <c r="D21" s="48"/>
      <c r="E21" s="48"/>
      <c r="F21" s="86"/>
      <c r="G21" s="86"/>
      <c r="H21" s="48"/>
      <c r="I21" s="48"/>
      <c r="J21" s="86"/>
      <c r="K21" s="86"/>
      <c r="L21" s="48"/>
      <c r="M21" s="48"/>
      <c r="N21" s="48"/>
      <c r="O21" s="48"/>
      <c r="P21" s="48"/>
      <c r="Q21" s="51"/>
    </row>
    <row r="22" spans="1:17" ht="16.5" x14ac:dyDescent="0.35">
      <c r="A22" s="52"/>
      <c r="B22" s="48"/>
      <c r="C22" s="48"/>
      <c r="D22" s="48"/>
      <c r="E22" s="48"/>
      <c r="F22" s="86"/>
      <c r="G22" s="86"/>
      <c r="H22" s="48"/>
      <c r="I22" s="48"/>
      <c r="J22" s="86"/>
      <c r="K22" s="86"/>
      <c r="L22" s="48"/>
      <c r="M22" s="48"/>
      <c r="N22" s="48"/>
      <c r="O22" s="48"/>
      <c r="P22" s="48"/>
      <c r="Q22" s="51"/>
    </row>
    <row r="23" spans="1:17" ht="16.5" x14ac:dyDescent="0.35">
      <c r="A23" s="52"/>
      <c r="B23" s="48"/>
      <c r="C23" s="48"/>
      <c r="D23" s="48"/>
      <c r="E23" s="48"/>
      <c r="F23" s="86"/>
      <c r="G23" s="86"/>
      <c r="H23" s="48"/>
      <c r="I23" s="48"/>
      <c r="J23" s="86"/>
      <c r="K23" s="86"/>
      <c r="L23" s="48"/>
      <c r="M23" s="48"/>
      <c r="N23" s="48"/>
      <c r="O23" s="48"/>
      <c r="P23" s="48"/>
      <c r="Q23" s="51"/>
    </row>
    <row r="24" spans="1:17" ht="16.5" x14ac:dyDescent="0.35">
      <c r="A24" s="52"/>
      <c r="B24" s="52"/>
      <c r="C24" s="48"/>
      <c r="D24" s="48"/>
      <c r="E24" s="48"/>
      <c r="F24" s="86"/>
      <c r="G24" s="86"/>
      <c r="H24" s="48"/>
      <c r="I24" s="48"/>
      <c r="J24" s="87"/>
      <c r="K24" s="86"/>
      <c r="L24" s="88"/>
      <c r="M24" s="48"/>
      <c r="N24" s="48"/>
      <c r="O24" s="48"/>
      <c r="P24" s="48"/>
      <c r="Q24" s="51"/>
    </row>
    <row r="25" spans="1:17" ht="16.5" x14ac:dyDescent="0.35">
      <c r="A25" s="52"/>
      <c r="B25" s="52"/>
      <c r="C25" s="48" t="s">
        <v>391</v>
      </c>
      <c r="D25" s="44"/>
      <c r="E25" s="44"/>
      <c r="F25" s="52"/>
      <c r="G25" s="52"/>
      <c r="H25" s="52"/>
      <c r="I25" s="48"/>
      <c r="J25" s="48" t="s">
        <v>392</v>
      </c>
      <c r="K25" s="48"/>
      <c r="L25" s="44"/>
      <c r="M25" s="48" t="s">
        <v>393</v>
      </c>
      <c r="N25" s="48"/>
      <c r="O25" s="212"/>
      <c r="P25" s="212"/>
      <c r="Q25" s="51"/>
    </row>
  </sheetData>
  <mergeCells count="10">
    <mergeCell ref="A6:P6"/>
    <mergeCell ref="J20:M20"/>
    <mergeCell ref="O25:P25"/>
    <mergeCell ref="A1:D1"/>
    <mergeCell ref="I1:P1"/>
    <mergeCell ref="A2:D2"/>
    <mergeCell ref="I2:P2"/>
    <mergeCell ref="A4:P4"/>
    <mergeCell ref="A5:P5"/>
    <mergeCell ref="A18:I18"/>
  </mergeCells>
  <phoneticPr fontId="24" type="noConversion"/>
  <conditionalFormatting sqref="B1:B3 B7:B8">
    <cfRule type="duplicateValues" dxfId="138" priority="30"/>
    <cfRule type="duplicateValues" dxfId="137" priority="31"/>
    <cfRule type="duplicateValues" dxfId="136" priority="32"/>
    <cfRule type="duplicateValues" dxfId="135" priority="33"/>
  </conditionalFormatting>
  <conditionalFormatting sqref="B1:B8">
    <cfRule type="duplicateValues" dxfId="134" priority="62"/>
  </conditionalFormatting>
  <conditionalFormatting sqref="B3 B7:B8">
    <cfRule type="duplicateValues" dxfId="133" priority="34"/>
  </conditionalFormatting>
  <conditionalFormatting sqref="B13:B14">
    <cfRule type="duplicateValues" dxfId="132" priority="11"/>
  </conditionalFormatting>
  <conditionalFormatting sqref="B15">
    <cfRule type="duplicateValues" dxfId="131" priority="8"/>
    <cfRule type="duplicateValues" dxfId="130" priority="9"/>
    <cfRule type="duplicateValues" dxfId="129" priority="10"/>
  </conditionalFormatting>
  <conditionalFormatting sqref="B16">
    <cfRule type="duplicateValues" dxfId="128" priority="101"/>
    <cfRule type="duplicateValues" dxfId="127" priority="102"/>
  </conditionalFormatting>
  <conditionalFormatting sqref="B17">
    <cfRule type="duplicateValues" dxfId="126" priority="2"/>
    <cfRule type="duplicateValues" dxfId="125" priority="3"/>
    <cfRule type="duplicateValues" dxfId="124" priority="4"/>
  </conditionalFormatting>
  <conditionalFormatting sqref="B24 B1:B8">
    <cfRule type="duplicateValues" dxfId="123" priority="14"/>
  </conditionalFormatting>
  <conditionalFormatting sqref="B24">
    <cfRule type="duplicateValues" dxfId="122" priority="24"/>
  </conditionalFormatting>
  <conditionalFormatting sqref="C15">
    <cfRule type="duplicateValues" dxfId="121" priority="7"/>
  </conditionalFormatting>
  <conditionalFormatting sqref="C17">
    <cfRule type="duplicateValues" dxfId="120" priority="1"/>
  </conditionalFormatting>
  <conditionalFormatting sqref="C25">
    <cfRule type="duplicateValues" dxfId="119" priority="12"/>
  </conditionalFormatting>
  <conditionalFormatting sqref="O1:O3 O7:O8">
    <cfRule type="duplicateValues" dxfId="118" priority="22"/>
  </conditionalFormatting>
  <conditionalFormatting sqref="O1:O8">
    <cfRule type="duplicateValues" dxfId="117" priority="64"/>
  </conditionalFormatting>
  <conditionalFormatting sqref="O24:O25 O1:O8">
    <cfRule type="duplicateValues" dxfId="116" priority="13"/>
  </conditionalFormatting>
  <conditionalFormatting sqref="O24:O25">
    <cfRule type="duplicateValues" dxfId="115" priority="23"/>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0BA12-3CE3-4BFC-88D1-A3C93176ADF7}">
  <dimension ref="A1:Q18"/>
  <sheetViews>
    <sheetView zoomScale="64" workbookViewId="0">
      <selection activeCell="A5" sqref="A5:P5"/>
    </sheetView>
  </sheetViews>
  <sheetFormatPr defaultRowHeight="15.5" x14ac:dyDescent="0.35"/>
  <cols>
    <col min="1" max="1" width="7" customWidth="1"/>
    <col min="2" max="2" width="18.58203125" customWidth="1"/>
    <col min="3" max="3" width="19.08203125" customWidth="1"/>
    <col min="4" max="4" width="7.75" customWidth="1"/>
    <col min="5" max="5" width="7.5" customWidth="1"/>
    <col min="6" max="6" width="19.08203125" customWidth="1"/>
    <col min="7" max="7" width="15.75" customWidth="1"/>
    <col min="8" max="8" width="12.75" customWidth="1"/>
    <col min="9" max="9" width="9.83203125" customWidth="1"/>
    <col min="10" max="10" width="11.08203125" customWidth="1"/>
    <col min="11" max="11" width="6.83203125" customWidth="1"/>
    <col min="12" max="12" width="11.58203125" customWidth="1"/>
    <col min="13" max="13" width="16" customWidth="1"/>
    <col min="14" max="14" width="12.83203125" bestFit="1" customWidth="1"/>
    <col min="15" max="15" width="19" customWidth="1"/>
    <col min="16" max="16" width="15.08203125" customWidth="1"/>
    <col min="17" max="17" width="9.83203125" customWidth="1"/>
  </cols>
  <sheetData>
    <row r="1" spans="1:17" ht="16.5" x14ac:dyDescent="0.35">
      <c r="A1" s="213" t="s">
        <v>0</v>
      </c>
      <c r="B1" s="213"/>
      <c r="C1" s="213"/>
      <c r="D1" s="213"/>
      <c r="E1" s="44"/>
      <c r="F1" s="45"/>
      <c r="G1" s="46"/>
      <c r="H1" s="46"/>
      <c r="I1" s="214" t="s">
        <v>1</v>
      </c>
      <c r="J1" s="214"/>
      <c r="K1" s="214"/>
      <c r="L1" s="214"/>
      <c r="M1" s="215"/>
      <c r="N1" s="214"/>
      <c r="O1" s="214"/>
      <c r="P1" s="214"/>
      <c r="Q1" s="47"/>
    </row>
    <row r="2" spans="1:17" ht="16.5" x14ac:dyDescent="0.35">
      <c r="A2" s="212" t="s">
        <v>2</v>
      </c>
      <c r="B2" s="212"/>
      <c r="C2" s="212"/>
      <c r="D2" s="212"/>
      <c r="E2" s="44"/>
      <c r="F2" s="45"/>
      <c r="G2" s="46"/>
      <c r="H2" s="46"/>
      <c r="I2" s="214" t="s">
        <v>3</v>
      </c>
      <c r="J2" s="214"/>
      <c r="K2" s="214"/>
      <c r="L2" s="214"/>
      <c r="M2" s="215"/>
      <c r="N2" s="214"/>
      <c r="O2" s="214"/>
      <c r="P2" s="214"/>
      <c r="Q2" s="47"/>
    </row>
    <row r="3" spans="1:17" ht="16.5" x14ac:dyDescent="0.35">
      <c r="A3" s="48"/>
      <c r="B3" s="48"/>
      <c r="C3" s="48"/>
      <c r="D3" s="48"/>
      <c r="E3" s="49"/>
      <c r="F3" s="45"/>
      <c r="G3" s="46"/>
      <c r="H3" s="46"/>
      <c r="I3" s="46"/>
      <c r="J3" s="50"/>
      <c r="K3" s="46"/>
      <c r="L3" s="50"/>
      <c r="M3" s="46"/>
      <c r="N3" s="46"/>
      <c r="O3" s="46"/>
      <c r="P3" s="48"/>
      <c r="Q3" s="47"/>
    </row>
    <row r="4" spans="1:17" ht="16.5" x14ac:dyDescent="0.35">
      <c r="A4" s="212" t="s">
        <v>426</v>
      </c>
      <c r="B4" s="212"/>
      <c r="C4" s="212"/>
      <c r="D4" s="212"/>
      <c r="E4" s="212"/>
      <c r="F4" s="212"/>
      <c r="G4" s="212"/>
      <c r="H4" s="212"/>
      <c r="I4" s="212"/>
      <c r="J4" s="212"/>
      <c r="K4" s="212"/>
      <c r="L4" s="212"/>
      <c r="M4" s="212"/>
      <c r="N4" s="212"/>
      <c r="O4" s="212"/>
      <c r="P4" s="212"/>
      <c r="Q4" s="51"/>
    </row>
    <row r="5" spans="1:17" ht="16.5" x14ac:dyDescent="0.35">
      <c r="A5" s="212" t="s">
        <v>436</v>
      </c>
      <c r="B5" s="212"/>
      <c r="C5" s="212"/>
      <c r="D5" s="212"/>
      <c r="E5" s="212"/>
      <c r="F5" s="212"/>
      <c r="G5" s="212"/>
      <c r="H5" s="212"/>
      <c r="I5" s="212"/>
      <c r="J5" s="212"/>
      <c r="K5" s="212"/>
      <c r="L5" s="212"/>
      <c r="M5" s="212"/>
      <c r="N5" s="212"/>
      <c r="O5" s="212"/>
      <c r="P5" s="212"/>
      <c r="Q5" s="51"/>
    </row>
    <row r="6" spans="1:17" ht="16.5" x14ac:dyDescent="0.35">
      <c r="A6" s="211" t="s">
        <v>370</v>
      </c>
      <c r="B6" s="211"/>
      <c r="C6" s="211"/>
      <c r="D6" s="211"/>
      <c r="E6" s="211"/>
      <c r="F6" s="211"/>
      <c r="G6" s="211"/>
      <c r="H6" s="211"/>
      <c r="I6" s="211"/>
      <c r="J6" s="211"/>
      <c r="K6" s="211"/>
      <c r="L6" s="211"/>
      <c r="M6" s="211"/>
      <c r="N6" s="211"/>
      <c r="O6" s="211"/>
      <c r="P6" s="211"/>
      <c r="Q6" s="51"/>
    </row>
    <row r="7" spans="1:17" ht="16.5" x14ac:dyDescent="0.35">
      <c r="A7" s="52"/>
      <c r="B7" s="52"/>
      <c r="C7" s="52"/>
      <c r="D7" s="52"/>
      <c r="E7" s="52"/>
      <c r="F7" s="53"/>
      <c r="G7" s="52"/>
      <c r="H7" s="52"/>
      <c r="I7" s="52"/>
      <c r="J7" s="54"/>
      <c r="K7" s="52"/>
      <c r="L7" s="54"/>
      <c r="M7" s="52"/>
      <c r="N7" s="52"/>
      <c r="O7" s="52"/>
      <c r="P7" s="52"/>
      <c r="Q7" s="47"/>
    </row>
    <row r="8" spans="1:17" ht="33" x14ac:dyDescent="0.35">
      <c r="A8" s="55" t="s">
        <v>371</v>
      </c>
      <c r="B8" s="55" t="s">
        <v>372</v>
      </c>
      <c r="C8" s="55" t="s">
        <v>8</v>
      </c>
      <c r="D8" s="55" t="s">
        <v>9</v>
      </c>
      <c r="E8" s="55" t="s">
        <v>10</v>
      </c>
      <c r="F8" s="55" t="s">
        <v>11</v>
      </c>
      <c r="G8" s="55" t="s">
        <v>373</v>
      </c>
      <c r="H8" s="55" t="s">
        <v>374</v>
      </c>
      <c r="I8" s="55" t="s">
        <v>375</v>
      </c>
      <c r="J8" s="56" t="s">
        <v>376</v>
      </c>
      <c r="K8" s="57" t="s">
        <v>20</v>
      </c>
      <c r="L8" s="56" t="s">
        <v>377</v>
      </c>
      <c r="M8" s="55" t="s">
        <v>378</v>
      </c>
      <c r="N8" s="57" t="s">
        <v>379</v>
      </c>
      <c r="O8" s="55" t="s">
        <v>380</v>
      </c>
      <c r="P8" s="55" t="s">
        <v>381</v>
      </c>
      <c r="Q8" s="42" t="s">
        <v>17</v>
      </c>
    </row>
    <row r="9" spans="1:17" ht="27" customHeight="1" x14ac:dyDescent="0.35">
      <c r="A9" s="90">
        <v>1</v>
      </c>
      <c r="B9" s="36" t="s">
        <v>438</v>
      </c>
      <c r="C9" s="32" t="s">
        <v>357</v>
      </c>
      <c r="D9" s="90">
        <v>66</v>
      </c>
      <c r="E9" s="32" t="s">
        <v>353</v>
      </c>
      <c r="F9" s="90" t="s">
        <v>49</v>
      </c>
      <c r="G9" s="90" t="s">
        <v>42</v>
      </c>
      <c r="H9" s="90" t="s">
        <v>386</v>
      </c>
      <c r="I9" s="90" t="s">
        <v>28</v>
      </c>
      <c r="J9" s="92">
        <v>1404000</v>
      </c>
      <c r="K9" s="93" t="s">
        <v>383</v>
      </c>
      <c r="L9" s="92">
        <f t="shared" ref="L9:L10" si="0">J9*K9</f>
        <v>7020000</v>
      </c>
      <c r="M9" s="36" t="s">
        <v>394</v>
      </c>
      <c r="N9" s="36" t="s">
        <v>358</v>
      </c>
      <c r="O9" s="36" t="s">
        <v>358</v>
      </c>
      <c r="P9" s="32" t="s">
        <v>36</v>
      </c>
      <c r="Q9" s="79" t="s">
        <v>388</v>
      </c>
    </row>
    <row r="10" spans="1:17" ht="27" customHeight="1" x14ac:dyDescent="0.35">
      <c r="A10" s="185">
        <v>2</v>
      </c>
      <c r="B10" s="186" t="s">
        <v>443</v>
      </c>
      <c r="C10" s="187" t="s">
        <v>444</v>
      </c>
      <c r="D10" s="187">
        <v>66</v>
      </c>
      <c r="E10" s="187" t="s">
        <v>364</v>
      </c>
      <c r="F10" s="187" t="s">
        <v>425</v>
      </c>
      <c r="G10" s="188" t="s">
        <v>42</v>
      </c>
      <c r="H10" s="185" t="s">
        <v>386</v>
      </c>
      <c r="I10" s="185" t="s">
        <v>28</v>
      </c>
      <c r="J10" s="92">
        <v>1404001</v>
      </c>
      <c r="K10" s="93" t="s">
        <v>383</v>
      </c>
      <c r="L10" s="92">
        <f t="shared" si="0"/>
        <v>7020005</v>
      </c>
      <c r="M10" s="36" t="s">
        <v>445</v>
      </c>
      <c r="N10" s="36" t="s">
        <v>446</v>
      </c>
      <c r="O10" s="36" t="s">
        <v>447</v>
      </c>
      <c r="P10" s="94" t="s">
        <v>36</v>
      </c>
      <c r="Q10" s="37" t="s">
        <v>335</v>
      </c>
    </row>
    <row r="11" spans="1:17" ht="27" customHeight="1" x14ac:dyDescent="0.35">
      <c r="A11" s="219" t="s">
        <v>319</v>
      </c>
      <c r="B11" s="220"/>
      <c r="C11" s="220"/>
      <c r="D11" s="220"/>
      <c r="E11" s="220"/>
      <c r="F11" s="220"/>
      <c r="G11" s="220"/>
      <c r="H11" s="220"/>
      <c r="I11" s="221"/>
      <c r="J11" s="184">
        <f>SUM(J9:J10)</f>
        <v>2808001</v>
      </c>
      <c r="K11" s="83"/>
      <c r="L11" s="89">
        <f>SUM(L9:L10)</f>
        <v>14040005</v>
      </c>
      <c r="M11" s="58"/>
      <c r="N11" s="58"/>
      <c r="O11" s="58"/>
      <c r="P11" s="58"/>
      <c r="Q11" s="90"/>
    </row>
    <row r="12" spans="1:17" ht="16.5" x14ac:dyDescent="0.35">
      <c r="A12" s="52"/>
      <c r="B12" s="85" t="s">
        <v>448</v>
      </c>
      <c r="C12" s="85"/>
      <c r="D12" s="48"/>
      <c r="E12" s="48"/>
      <c r="F12" s="86"/>
      <c r="G12" s="86"/>
      <c r="H12" s="48"/>
      <c r="I12" s="48"/>
      <c r="J12" s="86"/>
      <c r="K12" s="86"/>
      <c r="L12" s="48"/>
      <c r="M12" s="48"/>
      <c r="N12" s="48"/>
      <c r="O12" s="48"/>
      <c r="P12" s="48"/>
      <c r="Q12" s="51"/>
    </row>
    <row r="13" spans="1:17" ht="16.5" x14ac:dyDescent="0.35">
      <c r="A13" s="52"/>
      <c r="B13" s="48"/>
      <c r="C13" s="48" t="s">
        <v>389</v>
      </c>
      <c r="D13" s="48"/>
      <c r="E13" s="48"/>
      <c r="F13" s="86"/>
      <c r="G13" s="86"/>
      <c r="H13" s="48"/>
      <c r="I13" s="48"/>
      <c r="J13" s="212" t="s">
        <v>390</v>
      </c>
      <c r="K13" s="212"/>
      <c r="L13" s="212"/>
      <c r="M13" s="212"/>
      <c r="N13" s="48"/>
      <c r="O13" s="48"/>
      <c r="P13" s="48"/>
      <c r="Q13" s="51"/>
    </row>
    <row r="14" spans="1:17" ht="16.5" x14ac:dyDescent="0.35">
      <c r="A14" s="52"/>
      <c r="B14" s="48"/>
      <c r="C14" s="48"/>
      <c r="D14" s="48"/>
      <c r="E14" s="48"/>
      <c r="F14" s="86"/>
      <c r="G14" s="86"/>
      <c r="H14" s="48"/>
      <c r="I14" s="48"/>
      <c r="J14" s="86"/>
      <c r="K14" s="86"/>
      <c r="L14" s="48"/>
      <c r="M14" s="48"/>
      <c r="N14" s="48"/>
      <c r="O14" s="48"/>
      <c r="P14" s="48"/>
      <c r="Q14" s="51"/>
    </row>
    <row r="15" spans="1:17" ht="16.5" x14ac:dyDescent="0.35">
      <c r="A15" s="52"/>
      <c r="B15" s="48"/>
      <c r="C15" s="48"/>
      <c r="D15" s="48"/>
      <c r="E15" s="48"/>
      <c r="F15" s="86"/>
      <c r="G15" s="86"/>
      <c r="H15" s="48"/>
      <c r="I15" s="48"/>
      <c r="J15" s="86"/>
      <c r="K15" s="86"/>
      <c r="L15" s="48"/>
      <c r="M15" s="48"/>
      <c r="N15" s="48"/>
      <c r="O15" s="48"/>
      <c r="P15" s="48"/>
      <c r="Q15" s="51"/>
    </row>
    <row r="16" spans="1:17" ht="16.5" x14ac:dyDescent="0.35">
      <c r="A16" s="52"/>
      <c r="B16" s="48"/>
      <c r="C16" s="48"/>
      <c r="D16" s="48"/>
      <c r="E16" s="48"/>
      <c r="F16" s="86"/>
      <c r="G16" s="86"/>
      <c r="H16" s="48"/>
      <c r="I16" s="48"/>
      <c r="J16" s="86"/>
      <c r="K16" s="86"/>
      <c r="L16" s="48"/>
      <c r="M16" s="48"/>
      <c r="N16" s="48"/>
      <c r="O16" s="48"/>
      <c r="P16" s="48"/>
      <c r="Q16" s="51"/>
    </row>
    <row r="17" spans="1:17" ht="16.5" x14ac:dyDescent="0.35">
      <c r="A17" s="52"/>
      <c r="B17" s="52"/>
      <c r="C17" s="48"/>
      <c r="D17" s="48"/>
      <c r="E17" s="48"/>
      <c r="F17" s="86"/>
      <c r="G17" s="86"/>
      <c r="H17" s="48"/>
      <c r="I17" s="48"/>
      <c r="J17" s="87"/>
      <c r="K17" s="86"/>
      <c r="L17" s="88"/>
      <c r="M17" s="48"/>
      <c r="N17" s="48"/>
      <c r="O17" s="48"/>
      <c r="P17" s="48"/>
      <c r="Q17" s="51"/>
    </row>
    <row r="18" spans="1:17" ht="16.5" x14ac:dyDescent="0.35">
      <c r="A18" s="52"/>
      <c r="B18" s="52"/>
      <c r="C18" s="48" t="s">
        <v>391</v>
      </c>
      <c r="D18" s="44"/>
      <c r="E18" s="44"/>
      <c r="F18" s="52"/>
      <c r="G18" s="52"/>
      <c r="H18" s="52"/>
      <c r="I18" s="48"/>
      <c r="J18" s="48" t="s">
        <v>392</v>
      </c>
      <c r="K18" s="48"/>
      <c r="L18" s="44"/>
      <c r="M18" s="48" t="s">
        <v>393</v>
      </c>
      <c r="N18" s="48"/>
      <c r="O18" s="212"/>
      <c r="P18" s="212"/>
      <c r="Q18" s="51"/>
    </row>
  </sheetData>
  <mergeCells count="10">
    <mergeCell ref="A6:P6"/>
    <mergeCell ref="J13:M13"/>
    <mergeCell ref="O18:P18"/>
    <mergeCell ref="A1:D1"/>
    <mergeCell ref="I1:P1"/>
    <mergeCell ref="A2:D2"/>
    <mergeCell ref="I2:P2"/>
    <mergeCell ref="A4:P4"/>
    <mergeCell ref="A5:P5"/>
    <mergeCell ref="A11:I11"/>
  </mergeCells>
  <conditionalFormatting sqref="B1:B3 B7:B8">
    <cfRule type="duplicateValues" dxfId="114" priority="20"/>
    <cfRule type="duplicateValues" dxfId="113" priority="21"/>
    <cfRule type="duplicateValues" dxfId="112" priority="22"/>
    <cfRule type="duplicateValues" dxfId="111" priority="23"/>
  </conditionalFormatting>
  <conditionalFormatting sqref="B1:B8">
    <cfRule type="duplicateValues" dxfId="110" priority="25"/>
  </conditionalFormatting>
  <conditionalFormatting sqref="B3 B7:B8">
    <cfRule type="duplicateValues" dxfId="109" priority="24"/>
  </conditionalFormatting>
  <conditionalFormatting sqref="B9">
    <cfRule type="duplicateValues" dxfId="108" priority="103"/>
    <cfRule type="duplicateValues" dxfId="107" priority="104"/>
  </conditionalFormatting>
  <conditionalFormatting sqref="B10">
    <cfRule type="duplicateValues" dxfId="106" priority="2"/>
    <cfRule type="duplicateValues" dxfId="105" priority="3"/>
    <cfRule type="duplicateValues" dxfId="104" priority="4"/>
  </conditionalFormatting>
  <conditionalFormatting sqref="B17 B1:B8">
    <cfRule type="duplicateValues" dxfId="103" priority="16"/>
  </conditionalFormatting>
  <conditionalFormatting sqref="B17">
    <cfRule type="duplicateValues" dxfId="102" priority="19"/>
  </conditionalFormatting>
  <conditionalFormatting sqref="C10">
    <cfRule type="duplicateValues" dxfId="101" priority="1"/>
  </conditionalFormatting>
  <conditionalFormatting sqref="C18">
    <cfRule type="duplicateValues" dxfId="100" priority="14"/>
  </conditionalFormatting>
  <conditionalFormatting sqref="O1:O3 O7:O8">
    <cfRule type="duplicateValues" dxfId="99" priority="17"/>
  </conditionalFormatting>
  <conditionalFormatting sqref="O1:O8">
    <cfRule type="duplicateValues" dxfId="98" priority="26"/>
  </conditionalFormatting>
  <conditionalFormatting sqref="O17:O18 O1:O8">
    <cfRule type="duplicateValues" dxfId="97" priority="15"/>
  </conditionalFormatting>
  <conditionalFormatting sqref="O17:O18">
    <cfRule type="duplicateValues" dxfId="96" priority="18"/>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446E0-B240-45C7-A2F7-C22AEB40F502}">
  <dimension ref="A1:R31"/>
  <sheetViews>
    <sheetView topLeftCell="B3" zoomScale="66" workbookViewId="0">
      <selection activeCell="B21" sqref="B21:I21"/>
    </sheetView>
  </sheetViews>
  <sheetFormatPr defaultRowHeight="15.5" x14ac:dyDescent="0.35"/>
  <cols>
    <col min="1" max="1" width="0" hidden="1" customWidth="1"/>
    <col min="2" max="2" width="5.08203125" customWidth="1"/>
    <col min="3" max="3" width="19" style="183" customWidth="1"/>
    <col min="4" max="4" width="19.75" customWidth="1"/>
    <col min="5" max="5" width="6.33203125" customWidth="1"/>
    <col min="6" max="6" width="28" bestFit="1" customWidth="1"/>
    <col min="7" max="7" width="16.5" customWidth="1"/>
    <col min="8" max="8" width="16" customWidth="1"/>
    <col min="9" max="9" width="8.58203125" customWidth="1"/>
    <col min="10" max="10" width="14.58203125" customWidth="1"/>
    <col min="11" max="11" width="7.75" customWidth="1"/>
    <col min="12" max="12" width="17.83203125" customWidth="1"/>
    <col min="13" max="13" width="15.58203125" customWidth="1"/>
    <col min="14" max="14" width="12.58203125" customWidth="1"/>
    <col min="15" max="15" width="16.5" customWidth="1"/>
    <col min="16" max="16" width="13.58203125" bestFit="1" customWidth="1"/>
    <col min="17" max="17" width="12" customWidth="1"/>
    <col min="18" max="18" width="17.33203125" customWidth="1"/>
  </cols>
  <sheetData>
    <row r="1" spans="1:18" ht="23" x14ac:dyDescent="0.35">
      <c r="A1" s="231" t="s">
        <v>0</v>
      </c>
      <c r="B1" s="231"/>
      <c r="C1" s="231"/>
      <c r="D1" s="231"/>
      <c r="E1" s="1"/>
      <c r="F1" s="95"/>
      <c r="G1" s="3"/>
      <c r="H1" s="3"/>
      <c r="I1" s="232" t="s">
        <v>1</v>
      </c>
      <c r="J1" s="232"/>
      <c r="K1" s="232"/>
      <c r="L1" s="232"/>
      <c r="M1" s="233"/>
      <c r="N1" s="234"/>
      <c r="O1" s="234"/>
      <c r="P1" s="232"/>
      <c r="Q1" s="97"/>
      <c r="R1" s="98"/>
    </row>
    <row r="2" spans="1:18" ht="23" x14ac:dyDescent="0.35">
      <c r="A2" s="210" t="s">
        <v>2</v>
      </c>
      <c r="B2" s="210"/>
      <c r="C2" s="210"/>
      <c r="D2" s="210"/>
      <c r="E2" s="1"/>
      <c r="F2" s="95"/>
      <c r="G2" s="3"/>
      <c r="H2" s="3"/>
      <c r="I2" s="232" t="s">
        <v>3</v>
      </c>
      <c r="J2" s="232"/>
      <c r="K2" s="232"/>
      <c r="L2" s="232"/>
      <c r="M2" s="233"/>
      <c r="N2" s="234"/>
      <c r="O2" s="234"/>
      <c r="P2" s="232"/>
      <c r="Q2" s="97"/>
      <c r="R2" s="98"/>
    </row>
    <row r="3" spans="1:18" ht="22.5" x14ac:dyDescent="0.35">
      <c r="A3" s="2"/>
      <c r="B3" s="99"/>
      <c r="C3" s="48"/>
      <c r="D3" s="2"/>
      <c r="E3" s="101"/>
      <c r="F3" s="95"/>
      <c r="G3" s="3"/>
      <c r="H3" s="3"/>
      <c r="I3" s="3"/>
      <c r="J3" s="102"/>
      <c r="K3" s="3"/>
      <c r="L3" s="103"/>
      <c r="M3" s="96"/>
      <c r="N3" s="95"/>
      <c r="O3" s="95"/>
      <c r="P3" s="2"/>
      <c r="Q3" s="104"/>
      <c r="R3" s="2"/>
    </row>
    <row r="4" spans="1:18" ht="19" x14ac:dyDescent="0.35">
      <c r="A4" s="225" t="s">
        <v>396</v>
      </c>
      <c r="B4" s="225"/>
      <c r="C4" s="225"/>
      <c r="D4" s="225"/>
      <c r="E4" s="225"/>
      <c r="F4" s="225"/>
      <c r="G4" s="225"/>
      <c r="H4" s="225"/>
      <c r="I4" s="225"/>
      <c r="J4" s="225"/>
      <c r="K4" s="225"/>
      <c r="L4" s="225"/>
      <c r="M4" s="225"/>
      <c r="N4" s="226"/>
      <c r="O4" s="226"/>
      <c r="P4" s="225"/>
      <c r="Q4" s="225"/>
      <c r="R4" s="52"/>
    </row>
    <row r="5" spans="1:18" ht="19" x14ac:dyDescent="0.35">
      <c r="A5" s="225" t="s">
        <v>436</v>
      </c>
      <c r="B5" s="225"/>
      <c r="C5" s="225"/>
      <c r="D5" s="225"/>
      <c r="E5" s="225"/>
      <c r="F5" s="225"/>
      <c r="G5" s="225"/>
      <c r="H5" s="225"/>
      <c r="I5" s="225"/>
      <c r="J5" s="225"/>
      <c r="K5" s="225"/>
      <c r="L5" s="225"/>
      <c r="M5" s="225"/>
      <c r="N5" s="226"/>
      <c r="O5" s="226"/>
      <c r="P5" s="225"/>
      <c r="Q5" s="225"/>
      <c r="R5" s="52"/>
    </row>
    <row r="6" spans="1:18" ht="18" x14ac:dyDescent="0.35">
      <c r="A6" s="222" t="s">
        <v>370</v>
      </c>
      <c r="B6" s="222"/>
      <c r="C6" s="222"/>
      <c r="D6" s="222"/>
      <c r="E6" s="222"/>
      <c r="F6" s="222"/>
      <c r="G6" s="222"/>
      <c r="H6" s="222"/>
      <c r="I6" s="222"/>
      <c r="J6" s="222"/>
      <c r="K6" s="222"/>
      <c r="L6" s="222"/>
      <c r="M6" s="222"/>
      <c r="N6" s="223"/>
      <c r="O6" s="223"/>
      <c r="P6" s="222"/>
      <c r="Q6" s="51"/>
      <c r="R6" s="52"/>
    </row>
    <row r="7" spans="1:18" ht="18" x14ac:dyDescent="0.35">
      <c r="A7" s="46"/>
      <c r="B7" s="222" t="s">
        <v>397</v>
      </c>
      <c r="C7" s="222"/>
      <c r="D7" s="222"/>
      <c r="E7" s="222"/>
      <c r="F7" s="222"/>
      <c r="G7" s="222"/>
      <c r="H7" s="224"/>
      <c r="I7" s="222"/>
      <c r="J7" s="222"/>
      <c r="K7" s="222"/>
      <c r="L7" s="222"/>
      <c r="M7" s="222"/>
      <c r="N7" s="222"/>
      <c r="O7" s="222"/>
      <c r="P7" s="222"/>
      <c r="Q7" s="51"/>
      <c r="R7" s="52"/>
    </row>
    <row r="8" spans="1:18" ht="16.5" x14ac:dyDescent="0.35">
      <c r="A8" s="107"/>
      <c r="B8" s="44"/>
      <c r="C8" s="44"/>
      <c r="D8" s="108"/>
      <c r="E8" s="44"/>
      <c r="F8" s="108"/>
      <c r="G8" s="44"/>
      <c r="H8" s="44"/>
      <c r="I8" s="44"/>
      <c r="J8" s="44"/>
      <c r="K8" s="44"/>
      <c r="L8" s="44"/>
      <c r="M8" s="108"/>
      <c r="N8" s="108"/>
      <c r="O8" s="108"/>
      <c r="P8" s="44"/>
      <c r="Q8" s="109"/>
      <c r="R8" s="110"/>
    </row>
    <row r="9" spans="1:18" ht="35" x14ac:dyDescent="0.35">
      <c r="A9" s="107"/>
      <c r="B9" s="178" t="s">
        <v>371</v>
      </c>
      <c r="C9" s="178" t="s">
        <v>372</v>
      </c>
      <c r="D9" s="179" t="s">
        <v>8</v>
      </c>
      <c r="E9" s="178" t="s">
        <v>9</v>
      </c>
      <c r="F9" s="179" t="s">
        <v>10</v>
      </c>
      <c r="G9" s="178" t="s">
        <v>373</v>
      </c>
      <c r="H9" s="178" t="s">
        <v>374</v>
      </c>
      <c r="I9" s="178" t="s">
        <v>375</v>
      </c>
      <c r="J9" s="178" t="s">
        <v>19</v>
      </c>
      <c r="K9" s="178" t="s">
        <v>20</v>
      </c>
      <c r="L9" s="178" t="s">
        <v>21</v>
      </c>
      <c r="M9" s="178" t="s">
        <v>378</v>
      </c>
      <c r="N9" s="179" t="s">
        <v>379</v>
      </c>
      <c r="O9" s="179" t="s">
        <v>398</v>
      </c>
      <c r="P9" s="178" t="s">
        <v>399</v>
      </c>
      <c r="Q9" s="180" t="s">
        <v>17</v>
      </c>
      <c r="R9" s="107"/>
    </row>
    <row r="10" spans="1:18" ht="24.75" customHeight="1" x14ac:dyDescent="0.35">
      <c r="A10" s="107"/>
      <c r="B10" s="31">
        <v>1</v>
      </c>
      <c r="C10" s="118" t="s">
        <v>82</v>
      </c>
      <c r="D10" s="114" t="s">
        <v>83</v>
      </c>
      <c r="E10" s="114">
        <v>62</v>
      </c>
      <c r="F10" s="119" t="s">
        <v>401</v>
      </c>
      <c r="G10" s="114" t="s">
        <v>42</v>
      </c>
      <c r="H10" s="114" t="s">
        <v>33</v>
      </c>
      <c r="I10" s="120"/>
      <c r="J10" s="115">
        <v>140000</v>
      </c>
      <c r="K10" s="115">
        <v>6</v>
      </c>
      <c r="L10" s="115">
        <v>840000</v>
      </c>
      <c r="M10" s="121" t="s">
        <v>85</v>
      </c>
      <c r="N10" s="121" t="s">
        <v>86</v>
      </c>
      <c r="O10" s="121" t="s">
        <v>87</v>
      </c>
      <c r="P10" s="114" t="s">
        <v>402</v>
      </c>
      <c r="Q10" s="122"/>
      <c r="R10" s="107"/>
    </row>
    <row r="11" spans="1:18" s="158" customFormat="1" ht="24.75" customHeight="1" x14ac:dyDescent="0.35">
      <c r="A11" s="157"/>
      <c r="B11" s="123">
        <v>2</v>
      </c>
      <c r="C11" s="118" t="s">
        <v>403</v>
      </c>
      <c r="D11" s="123" t="s">
        <v>94</v>
      </c>
      <c r="E11" s="119">
        <v>62</v>
      </c>
      <c r="F11" s="119" t="s">
        <v>404</v>
      </c>
      <c r="G11" s="119" t="s">
        <v>42</v>
      </c>
      <c r="H11" s="119" t="s">
        <v>400</v>
      </c>
      <c r="I11" s="119"/>
      <c r="J11" s="125">
        <v>100000</v>
      </c>
      <c r="K11" s="125">
        <v>6</v>
      </c>
      <c r="L11" s="125">
        <v>600000</v>
      </c>
      <c r="M11" s="118" t="s">
        <v>95</v>
      </c>
      <c r="N11" s="124" t="s">
        <v>96</v>
      </c>
      <c r="O11" s="124" t="s">
        <v>405</v>
      </c>
      <c r="P11" s="119" t="s">
        <v>406</v>
      </c>
      <c r="Q11" s="122"/>
      <c r="R11" s="157"/>
    </row>
    <row r="12" spans="1:18" ht="24.75" customHeight="1" x14ac:dyDescent="0.35">
      <c r="A12" s="107"/>
      <c r="B12" s="31">
        <v>3</v>
      </c>
      <c r="C12" s="121" t="s">
        <v>290</v>
      </c>
      <c r="D12" s="114" t="s">
        <v>291</v>
      </c>
      <c r="E12" s="114">
        <v>63</v>
      </c>
      <c r="F12" s="114" t="s">
        <v>407</v>
      </c>
      <c r="G12" s="114" t="s">
        <v>42</v>
      </c>
      <c r="H12" s="114" t="s">
        <v>408</v>
      </c>
      <c r="I12" s="114" t="s">
        <v>28</v>
      </c>
      <c r="J12" s="115">
        <v>140000</v>
      </c>
      <c r="K12" s="115">
        <v>6</v>
      </c>
      <c r="L12" s="115">
        <v>840000</v>
      </c>
      <c r="M12" s="116" t="s">
        <v>292</v>
      </c>
      <c r="N12" s="116" t="s">
        <v>293</v>
      </c>
      <c r="O12" s="117" t="s">
        <v>294</v>
      </c>
      <c r="P12" s="43" t="s">
        <v>384</v>
      </c>
      <c r="Q12" s="122"/>
      <c r="R12" s="107"/>
    </row>
    <row r="13" spans="1:18" ht="24.75" customHeight="1" x14ac:dyDescent="0.35">
      <c r="A13" s="107"/>
      <c r="B13" s="31">
        <v>4</v>
      </c>
      <c r="C13" s="118" t="s">
        <v>178</v>
      </c>
      <c r="D13" s="123" t="s">
        <v>179</v>
      </c>
      <c r="E13" s="119">
        <v>65</v>
      </c>
      <c r="F13" s="119" t="s">
        <v>409</v>
      </c>
      <c r="G13" s="114" t="s">
        <v>42</v>
      </c>
      <c r="H13" s="119" t="s">
        <v>400</v>
      </c>
      <c r="I13" s="119"/>
      <c r="J13" s="125">
        <v>100000</v>
      </c>
      <c r="K13" s="125">
        <v>6</v>
      </c>
      <c r="L13" s="125">
        <v>600000</v>
      </c>
      <c r="M13" s="118" t="s">
        <v>410</v>
      </c>
      <c r="N13" s="118" t="s">
        <v>182</v>
      </c>
      <c r="O13" s="123" t="s">
        <v>183</v>
      </c>
      <c r="P13" s="119" t="s">
        <v>36</v>
      </c>
      <c r="Q13" s="122"/>
      <c r="R13" s="107"/>
    </row>
    <row r="14" spans="1:18" ht="24.75" customHeight="1" x14ac:dyDescent="0.35">
      <c r="A14" s="107"/>
      <c r="B14" s="31">
        <v>5</v>
      </c>
      <c r="C14" s="118" t="s">
        <v>189</v>
      </c>
      <c r="D14" s="123" t="s">
        <v>190</v>
      </c>
      <c r="E14" s="119">
        <v>65</v>
      </c>
      <c r="F14" s="119" t="s">
        <v>411</v>
      </c>
      <c r="G14" s="114" t="s">
        <v>42</v>
      </c>
      <c r="H14" s="119" t="s">
        <v>400</v>
      </c>
      <c r="I14" s="119"/>
      <c r="J14" s="125">
        <v>100000</v>
      </c>
      <c r="K14" s="125">
        <v>6</v>
      </c>
      <c r="L14" s="125">
        <v>600000</v>
      </c>
      <c r="M14" s="118" t="s">
        <v>192</v>
      </c>
      <c r="N14" s="118" t="s">
        <v>412</v>
      </c>
      <c r="O14" s="123" t="s">
        <v>194</v>
      </c>
      <c r="P14" s="119" t="s">
        <v>36</v>
      </c>
      <c r="Q14" s="122"/>
      <c r="R14" s="107"/>
    </row>
    <row r="15" spans="1:18" ht="24.75" customHeight="1" x14ac:dyDescent="0.35">
      <c r="A15" s="107"/>
      <c r="B15" s="31">
        <v>6</v>
      </c>
      <c r="C15" s="124" t="s">
        <v>305</v>
      </c>
      <c r="D15" s="119" t="s">
        <v>306</v>
      </c>
      <c r="E15" s="119">
        <v>64</v>
      </c>
      <c r="F15" s="119" t="s">
        <v>413</v>
      </c>
      <c r="G15" s="114" t="s">
        <v>42</v>
      </c>
      <c r="H15" s="114" t="s">
        <v>408</v>
      </c>
      <c r="I15" s="119" t="s">
        <v>28</v>
      </c>
      <c r="J15" s="115">
        <v>140000</v>
      </c>
      <c r="K15" s="119">
        <v>5</v>
      </c>
      <c r="L15" s="126">
        <f t="shared" ref="L15" si="0">J15*K15</f>
        <v>700000</v>
      </c>
      <c r="M15" s="124" t="s">
        <v>307</v>
      </c>
      <c r="N15" s="124" t="s">
        <v>308</v>
      </c>
      <c r="O15" s="119" t="s">
        <v>309</v>
      </c>
      <c r="P15" s="119" t="s">
        <v>36</v>
      </c>
      <c r="Q15" s="122"/>
      <c r="R15" s="107"/>
    </row>
    <row r="16" spans="1:18" ht="24.75" customHeight="1" x14ac:dyDescent="0.35">
      <c r="A16" s="107"/>
      <c r="B16" s="31">
        <v>7</v>
      </c>
      <c r="C16" s="127" t="s">
        <v>209</v>
      </c>
      <c r="D16" s="20" t="s">
        <v>210</v>
      </c>
      <c r="E16" s="114">
        <v>65</v>
      </c>
      <c r="F16" s="119" t="s">
        <v>414</v>
      </c>
      <c r="G16" s="114" t="s">
        <v>42</v>
      </c>
      <c r="H16" s="119" t="s">
        <v>408</v>
      </c>
      <c r="I16" s="119" t="s">
        <v>28</v>
      </c>
      <c r="J16" s="125">
        <v>140000</v>
      </c>
      <c r="K16" s="125">
        <v>6</v>
      </c>
      <c r="L16" s="125">
        <v>840000</v>
      </c>
      <c r="M16" s="128" t="s">
        <v>211</v>
      </c>
      <c r="N16" s="129" t="s">
        <v>212</v>
      </c>
      <c r="O16" s="129" t="s">
        <v>213</v>
      </c>
      <c r="P16" s="20" t="s">
        <v>345</v>
      </c>
      <c r="Q16" s="122"/>
      <c r="R16" s="107"/>
    </row>
    <row r="17" spans="1:18" ht="24.75" customHeight="1" x14ac:dyDescent="0.35">
      <c r="A17" s="107"/>
      <c r="B17" s="31">
        <v>8</v>
      </c>
      <c r="C17" s="127" t="s">
        <v>214</v>
      </c>
      <c r="D17" s="20" t="s">
        <v>215</v>
      </c>
      <c r="E17" s="114">
        <v>65</v>
      </c>
      <c r="F17" s="119" t="s">
        <v>415</v>
      </c>
      <c r="G17" s="114" t="s">
        <v>42</v>
      </c>
      <c r="H17" s="119" t="s">
        <v>408</v>
      </c>
      <c r="I17" s="119" t="s">
        <v>28</v>
      </c>
      <c r="J17" s="125">
        <v>140000</v>
      </c>
      <c r="K17" s="125">
        <v>6</v>
      </c>
      <c r="L17" s="125">
        <v>840000</v>
      </c>
      <c r="M17" s="128" t="s">
        <v>216</v>
      </c>
      <c r="N17" s="129" t="s">
        <v>217</v>
      </c>
      <c r="O17" s="129" t="s">
        <v>217</v>
      </c>
      <c r="P17" s="20" t="s">
        <v>345</v>
      </c>
      <c r="Q17" s="122"/>
      <c r="R17" s="107"/>
    </row>
    <row r="18" spans="1:18" ht="24.75" customHeight="1" x14ac:dyDescent="0.35">
      <c r="A18" s="107"/>
      <c r="B18" s="31">
        <v>9</v>
      </c>
      <c r="C18" s="130">
        <v>245748020110189</v>
      </c>
      <c r="D18" s="131" t="s">
        <v>219</v>
      </c>
      <c r="E18" s="119">
        <v>65</v>
      </c>
      <c r="F18" s="119" t="s">
        <v>416</v>
      </c>
      <c r="G18" s="114" t="s">
        <v>42</v>
      </c>
      <c r="H18" s="119" t="s">
        <v>408</v>
      </c>
      <c r="I18" s="119" t="s">
        <v>28</v>
      </c>
      <c r="J18" s="125">
        <v>140000</v>
      </c>
      <c r="K18" s="125">
        <v>6</v>
      </c>
      <c r="L18" s="125">
        <v>840000</v>
      </c>
      <c r="M18" s="132" t="s">
        <v>220</v>
      </c>
      <c r="N18" s="132" t="s">
        <v>221</v>
      </c>
      <c r="O18" s="132" t="s">
        <v>222</v>
      </c>
      <c r="P18" s="20" t="s">
        <v>345</v>
      </c>
      <c r="Q18" s="122"/>
      <c r="R18" s="107"/>
    </row>
    <row r="19" spans="1:18" ht="24.75" customHeight="1" x14ac:dyDescent="0.35">
      <c r="A19" s="107"/>
      <c r="B19" s="31">
        <v>10</v>
      </c>
      <c r="C19" s="159" t="s">
        <v>419</v>
      </c>
      <c r="D19" s="142" t="s">
        <v>420</v>
      </c>
      <c r="E19" s="142">
        <v>66</v>
      </c>
      <c r="F19" s="142" t="s">
        <v>421</v>
      </c>
      <c r="G19" s="142" t="s">
        <v>42</v>
      </c>
      <c r="H19" s="122" t="s">
        <v>454</v>
      </c>
      <c r="I19" s="122"/>
      <c r="J19" s="143">
        <v>100000</v>
      </c>
      <c r="K19" s="143">
        <v>6</v>
      </c>
      <c r="L19" s="143">
        <v>600000</v>
      </c>
      <c r="M19" s="144" t="s">
        <v>422</v>
      </c>
      <c r="N19" s="144" t="s">
        <v>423</v>
      </c>
      <c r="O19" s="145" t="s">
        <v>424</v>
      </c>
      <c r="P19" s="94" t="s">
        <v>36</v>
      </c>
      <c r="Q19" s="37" t="s">
        <v>335</v>
      </c>
      <c r="R19" s="107"/>
    </row>
    <row r="20" spans="1:18" ht="24.75" customHeight="1" x14ac:dyDescent="0.35">
      <c r="A20" s="107"/>
      <c r="B20" s="31">
        <v>11</v>
      </c>
      <c r="C20" s="36" t="s">
        <v>439</v>
      </c>
      <c r="D20" s="32" t="s">
        <v>347</v>
      </c>
      <c r="E20" s="142">
        <v>66</v>
      </c>
      <c r="F20" s="32" t="s">
        <v>434</v>
      </c>
      <c r="G20" s="142" t="s">
        <v>42</v>
      </c>
      <c r="H20" s="142" t="s">
        <v>33</v>
      </c>
      <c r="I20" s="122" t="s">
        <v>28</v>
      </c>
      <c r="J20" s="143">
        <v>140000</v>
      </c>
      <c r="K20" s="143">
        <v>6</v>
      </c>
      <c r="L20" s="143">
        <v>840000</v>
      </c>
      <c r="M20" s="36" t="s">
        <v>348</v>
      </c>
      <c r="N20" s="36" t="s">
        <v>349</v>
      </c>
      <c r="O20" s="36" t="s">
        <v>350</v>
      </c>
      <c r="P20" s="32" t="s">
        <v>351</v>
      </c>
      <c r="Q20" s="37" t="s">
        <v>335</v>
      </c>
      <c r="R20" s="107"/>
    </row>
    <row r="21" spans="1:18" ht="18.75" customHeight="1" x14ac:dyDescent="0.35">
      <c r="A21" s="133"/>
      <c r="B21" s="227" t="s">
        <v>319</v>
      </c>
      <c r="C21" s="228"/>
      <c r="D21" s="228"/>
      <c r="E21" s="228"/>
      <c r="F21" s="228"/>
      <c r="G21" s="228"/>
      <c r="H21" s="228"/>
      <c r="I21" s="229"/>
      <c r="J21" s="190">
        <f>SUM(J10:J20)</f>
        <v>1380000</v>
      </c>
      <c r="K21" s="189"/>
      <c r="L21" s="190">
        <f>SUM(L10:L20)</f>
        <v>8140000</v>
      </c>
      <c r="M21" s="191"/>
      <c r="N21" s="191"/>
      <c r="O21" s="191"/>
      <c r="P21" s="6"/>
      <c r="Q21" s="192"/>
      <c r="R21" s="134"/>
    </row>
    <row r="22" spans="1:18" ht="18.75" customHeight="1" x14ac:dyDescent="0.35">
      <c r="A22" s="133"/>
      <c r="B22" s="230" t="s">
        <v>395</v>
      </c>
      <c r="C22" s="230"/>
      <c r="D22" s="230"/>
      <c r="E22" s="230"/>
      <c r="F22" s="40"/>
      <c r="G22" s="40"/>
      <c r="H22" s="9"/>
      <c r="I22" s="9"/>
      <c r="J22" s="181"/>
      <c r="K22" s="40"/>
      <c r="L22" s="181"/>
      <c r="M22" s="182"/>
      <c r="N22" s="182"/>
      <c r="O22" s="182"/>
      <c r="P22" s="9"/>
      <c r="Q22" s="148"/>
      <c r="R22" s="134"/>
    </row>
    <row r="23" spans="1:18" ht="19" x14ac:dyDescent="0.35">
      <c r="A23" s="133"/>
      <c r="B23" s="18"/>
      <c r="C23" s="9"/>
      <c r="D23" s="40" t="s">
        <v>417</v>
      </c>
      <c r="E23" s="40"/>
      <c r="F23" s="40"/>
      <c r="G23" s="40"/>
      <c r="H23" s="9"/>
      <c r="I23" s="9"/>
      <c r="J23" s="181"/>
      <c r="K23" s="40"/>
      <c r="L23" s="182" t="s">
        <v>418</v>
      </c>
      <c r="M23" s="18"/>
      <c r="N23" s="182"/>
      <c r="O23" s="182"/>
      <c r="P23" s="9"/>
      <c r="Q23" s="148"/>
      <c r="R23" s="134"/>
    </row>
    <row r="24" spans="1:18" ht="19" x14ac:dyDescent="0.35">
      <c r="A24" s="133"/>
      <c r="B24" s="133"/>
      <c r="C24" s="105"/>
      <c r="D24" s="134"/>
      <c r="E24" s="134"/>
      <c r="F24" s="134"/>
      <c r="G24" s="134"/>
      <c r="H24" s="105"/>
      <c r="I24" s="105"/>
      <c r="J24" s="135"/>
      <c r="K24" s="134"/>
      <c r="L24" s="106"/>
      <c r="M24" s="133"/>
      <c r="N24" s="106"/>
      <c r="O24" s="106"/>
      <c r="P24" s="105"/>
      <c r="Q24" s="136"/>
      <c r="R24" s="134"/>
    </row>
    <row r="25" spans="1:18" ht="19" x14ac:dyDescent="0.35">
      <c r="A25" s="133"/>
      <c r="B25" s="133"/>
      <c r="C25" s="105"/>
      <c r="D25" s="134"/>
      <c r="E25" s="134"/>
      <c r="F25" s="134"/>
      <c r="G25" s="134"/>
      <c r="H25" s="105"/>
      <c r="I25" s="105"/>
      <c r="J25" s="135"/>
      <c r="K25" s="134"/>
      <c r="L25" s="106"/>
      <c r="M25" s="133"/>
      <c r="N25" s="106"/>
      <c r="O25" s="106"/>
      <c r="P25" s="105"/>
      <c r="Q25" s="136"/>
      <c r="R25" s="134"/>
    </row>
    <row r="26" spans="1:18" ht="19" x14ac:dyDescent="0.35">
      <c r="A26" s="133"/>
      <c r="B26" s="133"/>
      <c r="C26" s="105"/>
      <c r="D26" s="134"/>
      <c r="E26" s="134"/>
      <c r="F26" s="134"/>
      <c r="G26" s="134"/>
      <c r="H26" s="105"/>
      <c r="I26" s="105"/>
      <c r="J26" s="135"/>
      <c r="K26" s="134"/>
      <c r="L26" s="106"/>
      <c r="M26" s="133"/>
      <c r="N26" s="106"/>
      <c r="O26" s="106"/>
      <c r="P26" s="105"/>
      <c r="Q26" s="136"/>
      <c r="R26" s="134"/>
    </row>
    <row r="27" spans="1:18" ht="19" x14ac:dyDescent="0.35">
      <c r="A27" s="133"/>
      <c r="B27" s="133"/>
      <c r="C27" s="105"/>
      <c r="D27" s="134"/>
      <c r="E27" s="134"/>
      <c r="F27" s="134"/>
      <c r="G27" s="134"/>
      <c r="H27" s="105"/>
      <c r="I27" s="105"/>
      <c r="J27" s="135"/>
      <c r="K27" s="134"/>
      <c r="L27" s="135"/>
      <c r="M27" s="106"/>
      <c r="N27" s="106"/>
      <c r="O27" s="106"/>
      <c r="P27" s="105"/>
      <c r="Q27" s="136"/>
      <c r="R27" s="134"/>
    </row>
    <row r="28" spans="1:18" ht="19" x14ac:dyDescent="0.35">
      <c r="A28" s="133"/>
      <c r="B28" s="225"/>
      <c r="C28" s="225"/>
      <c r="D28" s="225"/>
      <c r="E28" s="134"/>
      <c r="F28" s="133"/>
      <c r="G28" s="225"/>
      <c r="H28" s="225"/>
      <c r="I28" s="225"/>
      <c r="J28" s="225"/>
      <c r="K28" s="134"/>
      <c r="L28" s="135"/>
      <c r="M28" s="106"/>
      <c r="N28" s="106"/>
      <c r="O28" s="226"/>
      <c r="P28" s="225"/>
      <c r="Q28" s="225"/>
      <c r="R28" s="225"/>
    </row>
    <row r="29" spans="1:18" ht="16.5" x14ac:dyDescent="0.35">
      <c r="A29" s="107"/>
      <c r="B29" s="137"/>
      <c r="C29" s="137"/>
      <c r="D29" s="100" t="s">
        <v>391</v>
      </c>
      <c r="E29" s="44"/>
      <c r="F29" s="108"/>
      <c r="G29" s="44"/>
      <c r="H29" s="44"/>
      <c r="I29" s="44"/>
      <c r="J29" s="48"/>
      <c r="K29" s="48" t="s">
        <v>392</v>
      </c>
      <c r="L29" s="86"/>
      <c r="M29" s="100" t="s">
        <v>393</v>
      </c>
      <c r="N29" s="138"/>
      <c r="O29" s="139"/>
      <c r="P29" s="137"/>
      <c r="Q29" s="47"/>
      <c r="R29" s="110"/>
    </row>
    <row r="30" spans="1:18" ht="16.5" x14ac:dyDescent="0.35">
      <c r="A30" s="107"/>
      <c r="B30" s="137"/>
      <c r="C30" s="137"/>
      <c r="D30" s="139"/>
      <c r="E30" s="137"/>
      <c r="F30" s="139"/>
      <c r="G30" s="137"/>
      <c r="H30" s="137"/>
      <c r="I30" s="137"/>
      <c r="J30" s="137"/>
      <c r="K30" s="137"/>
      <c r="L30" s="110"/>
      <c r="M30" s="139"/>
      <c r="N30" s="139"/>
      <c r="O30" s="139"/>
      <c r="P30" s="137"/>
      <c r="Q30" s="47"/>
      <c r="R30" s="110"/>
    </row>
    <row r="31" spans="1:18" ht="16.5" x14ac:dyDescent="0.35">
      <c r="A31" s="107"/>
      <c r="B31" s="137"/>
      <c r="C31" s="137"/>
      <c r="D31" s="139"/>
      <c r="E31" s="137"/>
      <c r="F31" s="139"/>
      <c r="G31" s="137"/>
      <c r="H31" s="137"/>
      <c r="I31" s="137"/>
      <c r="J31" s="137"/>
      <c r="K31" s="137"/>
      <c r="L31" s="110"/>
      <c r="M31" s="139"/>
      <c r="N31" s="139"/>
      <c r="O31" s="139"/>
      <c r="P31" s="137"/>
      <c r="Q31" s="47"/>
      <c r="R31" s="110"/>
    </row>
  </sheetData>
  <mergeCells count="13">
    <mergeCell ref="A5:Q5"/>
    <mergeCell ref="A1:D1"/>
    <mergeCell ref="I1:P1"/>
    <mergeCell ref="A2:D2"/>
    <mergeCell ref="I2:P2"/>
    <mergeCell ref="A4:Q4"/>
    <mergeCell ref="A6:P6"/>
    <mergeCell ref="B7:P7"/>
    <mergeCell ref="B28:D28"/>
    <mergeCell ref="G28:J28"/>
    <mergeCell ref="O28:R28"/>
    <mergeCell ref="B21:I21"/>
    <mergeCell ref="B22:E22"/>
  </mergeCells>
  <conditionalFormatting sqref="A29:A31 A7:A20">
    <cfRule type="duplicateValues" dxfId="95" priority="50"/>
  </conditionalFormatting>
  <conditionalFormatting sqref="B1:B3">
    <cfRule type="duplicateValues" dxfId="94" priority="40"/>
    <cfRule type="duplicateValues" dxfId="93" priority="42"/>
    <cfRule type="duplicateValues" dxfId="92" priority="41"/>
    <cfRule type="duplicateValues" dxfId="91" priority="39"/>
  </conditionalFormatting>
  <conditionalFormatting sqref="B1:B6">
    <cfRule type="duplicateValues" dxfId="90" priority="45"/>
    <cfRule type="duplicateValues" dxfId="89" priority="44"/>
    <cfRule type="duplicateValues" dxfId="88" priority="43"/>
    <cfRule type="duplicateValues" dxfId="87" priority="35"/>
    <cfRule type="duplicateValues" dxfId="86" priority="34"/>
  </conditionalFormatting>
  <conditionalFormatting sqref="B3">
    <cfRule type="duplicateValues" dxfId="85" priority="38"/>
  </conditionalFormatting>
  <conditionalFormatting sqref="B23:B28">
    <cfRule type="duplicateValues" dxfId="84" priority="98"/>
    <cfRule type="duplicateValues" dxfId="83" priority="97"/>
  </conditionalFormatting>
  <conditionalFormatting sqref="C10">
    <cfRule type="duplicateValues" dxfId="82" priority="17"/>
    <cfRule type="duplicateValues" dxfId="81" priority="18"/>
    <cfRule type="duplicateValues" dxfId="80" priority="16"/>
  </conditionalFormatting>
  <conditionalFormatting sqref="C11:C14">
    <cfRule type="duplicateValues" dxfId="79" priority="22"/>
    <cfRule type="duplicateValues" dxfId="78" priority="23"/>
    <cfRule type="duplicateValues" dxfId="77" priority="24"/>
  </conditionalFormatting>
  <conditionalFormatting sqref="C13:C14">
    <cfRule type="duplicateValues" dxfId="76" priority="19"/>
    <cfRule type="duplicateValues" dxfId="75" priority="20"/>
  </conditionalFormatting>
  <conditionalFormatting sqref="C15">
    <cfRule type="duplicateValues" dxfId="74" priority="25"/>
    <cfRule type="duplicateValues" dxfId="73" priority="29"/>
    <cfRule type="duplicateValues" dxfId="72" priority="26"/>
    <cfRule type="duplicateValues" dxfId="71" priority="28"/>
    <cfRule type="duplicateValues" dxfId="70" priority="27"/>
  </conditionalFormatting>
  <conditionalFormatting sqref="C16">
    <cfRule type="duplicateValues" dxfId="69" priority="9"/>
    <cfRule type="duplicateValues" dxfId="68" priority="10"/>
    <cfRule type="duplicateValues" dxfId="67" priority="8"/>
  </conditionalFormatting>
  <conditionalFormatting sqref="C17:C18">
    <cfRule type="duplicateValues" dxfId="66" priority="12"/>
    <cfRule type="duplicateValues" dxfId="65" priority="13"/>
    <cfRule type="duplicateValues" dxfId="64" priority="14"/>
  </conditionalFormatting>
  <conditionalFormatting sqref="C19">
    <cfRule type="duplicateValues" dxfId="63" priority="3"/>
    <cfRule type="duplicateValues" dxfId="62" priority="4"/>
    <cfRule type="duplicateValues" dxfId="61" priority="5"/>
  </conditionalFormatting>
  <conditionalFormatting sqref="C20">
    <cfRule type="duplicateValues" dxfId="60" priority="2"/>
    <cfRule type="duplicateValues" dxfId="59" priority="1"/>
  </conditionalFormatting>
  <conditionalFormatting sqref="C29:C31 C7:C9">
    <cfRule type="duplicateValues" dxfId="58" priority="51"/>
    <cfRule type="duplicateValues" dxfId="57" priority="52"/>
    <cfRule type="duplicateValues" dxfId="56" priority="53"/>
  </conditionalFormatting>
  <conditionalFormatting sqref="C29:C31 C8:C9">
    <cfRule type="duplicateValues" dxfId="55" priority="55"/>
    <cfRule type="duplicateValues" dxfId="54" priority="56"/>
  </conditionalFormatting>
  <conditionalFormatting sqref="C29:C31">
    <cfRule type="duplicateValues" dxfId="53" priority="54"/>
  </conditionalFormatting>
  <conditionalFormatting sqref="D10">
    <cfRule type="duplicateValues" dxfId="52" priority="15"/>
  </conditionalFormatting>
  <conditionalFormatting sqref="D11:D12">
    <cfRule type="duplicateValues" dxfId="51" priority="21"/>
  </conditionalFormatting>
  <conditionalFormatting sqref="D15">
    <cfRule type="duplicateValues" dxfId="50" priority="30"/>
  </conditionalFormatting>
  <conditionalFormatting sqref="D16">
    <cfRule type="duplicateValues" dxfId="49" priority="7"/>
  </conditionalFormatting>
  <conditionalFormatting sqref="D17:D18">
    <cfRule type="duplicateValues" dxfId="48" priority="11"/>
  </conditionalFormatting>
  <conditionalFormatting sqref="D19">
    <cfRule type="duplicateValues" dxfId="47" priority="6"/>
  </conditionalFormatting>
  <conditionalFormatting sqref="D29:D31 D7:D9">
    <cfRule type="duplicateValues" dxfId="46" priority="57"/>
  </conditionalFormatting>
  <conditionalFormatting sqref="D29:D31">
    <cfRule type="duplicateValues" dxfId="45" priority="58"/>
  </conditionalFormatting>
  <conditionalFormatting sqref="O1:O3">
    <cfRule type="duplicateValues" dxfId="44" priority="37"/>
  </conditionalFormatting>
  <conditionalFormatting sqref="O1:O6">
    <cfRule type="duplicateValues" dxfId="43" priority="36"/>
    <cfRule type="duplicateValues" dxfId="42" priority="33"/>
  </conditionalFormatting>
  <conditionalFormatting sqref="O21:O28">
    <cfRule type="duplicateValues" dxfId="41" priority="46"/>
    <cfRule type="duplicateValues" dxfId="40" priority="47"/>
  </conditionalFormatting>
  <conditionalFormatting sqref="O21:O31 O7:O9">
    <cfRule type="duplicateValues" dxfId="39" priority="80"/>
  </conditionalFormatting>
  <conditionalFormatting sqref="O29:O31 O7:O9">
    <cfRule type="duplicateValues" dxfId="38" priority="60"/>
    <cfRule type="duplicateValues" dxfId="37" priority="61"/>
    <cfRule type="duplicateValues" dxfId="36" priority="62"/>
  </conditionalFormatting>
  <hyperlinks>
    <hyperlink ref="C17" r:id="rId1" display="javascript:;" xr:uid="{05E76762-D520-4098-A6C2-340BEFE47844}"/>
    <hyperlink ref="C16" r:id="rId2" display="javascript:;" xr:uid="{7E3EA8F5-AD00-4C11-8A48-47C65E3644F8}"/>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505F7-77FF-4984-967C-E2B461A61969}">
  <dimension ref="A1:R21"/>
  <sheetViews>
    <sheetView topLeftCell="B1" workbookViewId="0">
      <selection activeCell="H10" sqref="H10"/>
    </sheetView>
  </sheetViews>
  <sheetFormatPr defaultRowHeight="15.5" x14ac:dyDescent="0.35"/>
  <cols>
    <col min="1" max="1" width="0" hidden="1" customWidth="1"/>
    <col min="2" max="2" width="5.08203125" customWidth="1"/>
    <col min="3" max="3" width="19" customWidth="1"/>
    <col min="4" max="4" width="17.58203125" customWidth="1"/>
    <col min="5" max="5" width="6.33203125" customWidth="1"/>
    <col min="6" max="6" width="26.83203125" customWidth="1"/>
    <col min="7" max="7" width="16.5" customWidth="1"/>
    <col min="8" max="8" width="16" customWidth="1"/>
    <col min="9" max="9" width="8.58203125" customWidth="1"/>
    <col min="10" max="10" width="14.58203125" customWidth="1"/>
    <col min="11" max="11" width="7.75" customWidth="1"/>
    <col min="12" max="12" width="17.83203125" customWidth="1"/>
    <col min="13" max="13" width="15.58203125" customWidth="1"/>
    <col min="14" max="14" width="12.58203125" customWidth="1"/>
    <col min="15" max="15" width="16.5" customWidth="1"/>
    <col min="16" max="16" width="15.08203125" customWidth="1"/>
    <col min="17" max="17" width="12" customWidth="1"/>
    <col min="18" max="18" width="17.33203125" customWidth="1"/>
  </cols>
  <sheetData>
    <row r="1" spans="1:18" ht="23" x14ac:dyDescent="0.35">
      <c r="A1" s="231" t="s">
        <v>0</v>
      </c>
      <c r="B1" s="231"/>
      <c r="C1" s="231"/>
      <c r="D1" s="231"/>
      <c r="E1" s="1"/>
      <c r="F1" s="95"/>
      <c r="G1" s="3"/>
      <c r="H1" s="3"/>
      <c r="I1" s="232" t="s">
        <v>1</v>
      </c>
      <c r="J1" s="232"/>
      <c r="K1" s="232"/>
      <c r="L1" s="232"/>
      <c r="M1" s="233"/>
      <c r="N1" s="234"/>
      <c r="O1" s="234"/>
      <c r="P1" s="232"/>
      <c r="Q1" s="97"/>
      <c r="R1" s="98"/>
    </row>
    <row r="2" spans="1:18" ht="23" x14ac:dyDescent="0.35">
      <c r="A2" s="210" t="s">
        <v>2</v>
      </c>
      <c r="B2" s="210"/>
      <c r="C2" s="210"/>
      <c r="D2" s="210"/>
      <c r="E2" s="1"/>
      <c r="F2" s="95"/>
      <c r="G2" s="3"/>
      <c r="H2" s="3"/>
      <c r="I2" s="232" t="s">
        <v>3</v>
      </c>
      <c r="J2" s="232"/>
      <c r="K2" s="232"/>
      <c r="L2" s="232"/>
      <c r="M2" s="233"/>
      <c r="N2" s="234"/>
      <c r="O2" s="234"/>
      <c r="P2" s="232"/>
      <c r="Q2" s="97"/>
      <c r="R2" s="98"/>
    </row>
    <row r="3" spans="1:18" ht="22.5" x14ac:dyDescent="0.35">
      <c r="A3" s="2"/>
      <c r="B3" s="99"/>
      <c r="C3" s="100"/>
      <c r="D3" s="2"/>
      <c r="E3" s="101"/>
      <c r="F3" s="95"/>
      <c r="G3" s="3"/>
      <c r="H3" s="3"/>
      <c r="I3" s="3"/>
      <c r="J3" s="102"/>
      <c r="K3" s="3"/>
      <c r="L3" s="103"/>
      <c r="M3" s="96"/>
      <c r="N3" s="95"/>
      <c r="O3" s="95"/>
      <c r="P3" s="2"/>
      <c r="Q3" s="104"/>
      <c r="R3" s="2"/>
    </row>
    <row r="4" spans="1:18" ht="19" x14ac:dyDescent="0.35">
      <c r="A4" s="225" t="s">
        <v>427</v>
      </c>
      <c r="B4" s="225"/>
      <c r="C4" s="225"/>
      <c r="D4" s="225"/>
      <c r="E4" s="225"/>
      <c r="F4" s="225"/>
      <c r="G4" s="225"/>
      <c r="H4" s="225"/>
      <c r="I4" s="225"/>
      <c r="J4" s="225"/>
      <c r="K4" s="225"/>
      <c r="L4" s="225"/>
      <c r="M4" s="225"/>
      <c r="N4" s="226"/>
      <c r="O4" s="226"/>
      <c r="P4" s="225"/>
      <c r="Q4" s="225"/>
      <c r="R4" s="52"/>
    </row>
    <row r="5" spans="1:18" ht="19" x14ac:dyDescent="0.35">
      <c r="A5" s="225" t="s">
        <v>436</v>
      </c>
      <c r="B5" s="225"/>
      <c r="C5" s="225"/>
      <c r="D5" s="225"/>
      <c r="E5" s="225"/>
      <c r="F5" s="225"/>
      <c r="G5" s="225"/>
      <c r="H5" s="225"/>
      <c r="I5" s="225"/>
      <c r="J5" s="225"/>
      <c r="K5" s="225"/>
      <c r="L5" s="225"/>
      <c r="M5" s="225"/>
      <c r="N5" s="226"/>
      <c r="O5" s="226"/>
      <c r="P5" s="225"/>
      <c r="Q5" s="225"/>
      <c r="R5" s="52"/>
    </row>
    <row r="6" spans="1:18" ht="18" x14ac:dyDescent="0.35">
      <c r="A6" s="222" t="s">
        <v>370</v>
      </c>
      <c r="B6" s="222"/>
      <c r="C6" s="222"/>
      <c r="D6" s="222"/>
      <c r="E6" s="222"/>
      <c r="F6" s="222"/>
      <c r="G6" s="222"/>
      <c r="H6" s="222"/>
      <c r="I6" s="222"/>
      <c r="J6" s="222"/>
      <c r="K6" s="222"/>
      <c r="L6" s="222"/>
      <c r="M6" s="222"/>
      <c r="N6" s="223"/>
      <c r="O6" s="223"/>
      <c r="P6" s="222"/>
      <c r="Q6" s="51"/>
      <c r="R6" s="52"/>
    </row>
    <row r="7" spans="1:18" ht="18" x14ac:dyDescent="0.35">
      <c r="A7" s="46"/>
      <c r="B7" s="222" t="s">
        <v>397</v>
      </c>
      <c r="C7" s="222"/>
      <c r="D7" s="222"/>
      <c r="E7" s="222"/>
      <c r="F7" s="222"/>
      <c r="G7" s="222"/>
      <c r="H7" s="224"/>
      <c r="I7" s="222"/>
      <c r="J7" s="222"/>
      <c r="K7" s="222"/>
      <c r="L7" s="222"/>
      <c r="M7" s="222"/>
      <c r="N7" s="222"/>
      <c r="O7" s="222"/>
      <c r="P7" s="222"/>
      <c r="Q7" s="51"/>
      <c r="R7" s="52"/>
    </row>
    <row r="8" spans="1:18" ht="16.5" x14ac:dyDescent="0.35">
      <c r="A8" s="107"/>
      <c r="B8" s="44"/>
      <c r="C8" s="44"/>
      <c r="D8" s="108"/>
      <c r="E8" s="44"/>
      <c r="F8" s="108"/>
      <c r="G8" s="44"/>
      <c r="H8" s="44"/>
      <c r="I8" s="44"/>
      <c r="J8" s="44"/>
      <c r="K8" s="44"/>
      <c r="L8" s="44"/>
      <c r="M8" s="108"/>
      <c r="N8" s="108"/>
      <c r="O8" s="108"/>
      <c r="P8" s="44"/>
      <c r="Q8" s="109"/>
      <c r="R8" s="110"/>
    </row>
    <row r="9" spans="1:18" ht="33" x14ac:dyDescent="0.35">
      <c r="A9" s="107"/>
      <c r="B9" s="111" t="s">
        <v>371</v>
      </c>
      <c r="C9" s="111" t="s">
        <v>372</v>
      </c>
      <c r="D9" s="112" t="s">
        <v>8</v>
      </c>
      <c r="E9" s="111" t="s">
        <v>9</v>
      </c>
      <c r="F9" s="112" t="s">
        <v>10</v>
      </c>
      <c r="G9" s="111" t="s">
        <v>373</v>
      </c>
      <c r="H9" s="111" t="s">
        <v>374</v>
      </c>
      <c r="I9" s="111" t="s">
        <v>375</v>
      </c>
      <c r="J9" s="111" t="s">
        <v>19</v>
      </c>
      <c r="K9" s="111" t="s">
        <v>20</v>
      </c>
      <c r="L9" s="111" t="s">
        <v>21</v>
      </c>
      <c r="M9" s="111" t="s">
        <v>378</v>
      </c>
      <c r="N9" s="112" t="s">
        <v>379</v>
      </c>
      <c r="O9" s="112" t="s">
        <v>398</v>
      </c>
      <c r="P9" s="111" t="s">
        <v>399</v>
      </c>
      <c r="Q9" s="113" t="s">
        <v>17</v>
      </c>
      <c r="R9" s="107"/>
    </row>
    <row r="10" spans="1:18" s="146" customFormat="1" ht="27" customHeight="1" x14ac:dyDescent="0.35">
      <c r="A10" s="140"/>
      <c r="B10" s="37">
        <v>1</v>
      </c>
      <c r="C10" s="141" t="s">
        <v>419</v>
      </c>
      <c r="D10" s="142" t="s">
        <v>420</v>
      </c>
      <c r="E10" s="142">
        <v>66</v>
      </c>
      <c r="F10" s="142" t="s">
        <v>421</v>
      </c>
      <c r="G10" s="142" t="s">
        <v>42</v>
      </c>
      <c r="H10" s="122" t="s">
        <v>454</v>
      </c>
      <c r="I10" s="122"/>
      <c r="J10" s="143">
        <v>100000</v>
      </c>
      <c r="K10" s="143">
        <v>6</v>
      </c>
      <c r="L10" s="143">
        <v>600000</v>
      </c>
      <c r="M10" s="144" t="s">
        <v>422</v>
      </c>
      <c r="N10" s="144" t="s">
        <v>423</v>
      </c>
      <c r="O10" s="145" t="s">
        <v>424</v>
      </c>
      <c r="P10" s="94" t="s">
        <v>36</v>
      </c>
      <c r="Q10" s="37" t="s">
        <v>335</v>
      </c>
      <c r="R10" s="140"/>
    </row>
    <row r="11" spans="1:18" s="146" customFormat="1" ht="27" customHeight="1" x14ac:dyDescent="0.35">
      <c r="A11" s="140"/>
      <c r="B11" s="37">
        <v>2</v>
      </c>
      <c r="C11" s="36" t="s">
        <v>346</v>
      </c>
      <c r="D11" s="32" t="s">
        <v>347</v>
      </c>
      <c r="E11" s="142">
        <v>66</v>
      </c>
      <c r="F11" s="32" t="s">
        <v>434</v>
      </c>
      <c r="G11" s="142" t="s">
        <v>42</v>
      </c>
      <c r="H11" s="33" t="s">
        <v>33</v>
      </c>
      <c r="I11" s="122" t="s">
        <v>28</v>
      </c>
      <c r="J11" s="143">
        <v>140000</v>
      </c>
      <c r="K11" s="143">
        <v>6</v>
      </c>
      <c r="L11" s="143">
        <v>840000</v>
      </c>
      <c r="M11" s="36" t="s">
        <v>348</v>
      </c>
      <c r="N11" s="36" t="s">
        <v>349</v>
      </c>
      <c r="O11" s="36" t="s">
        <v>350</v>
      </c>
      <c r="P11" s="32" t="s">
        <v>351</v>
      </c>
      <c r="Q11" s="37" t="s">
        <v>335</v>
      </c>
      <c r="R11" s="140"/>
    </row>
    <row r="12" spans="1:18" ht="19" x14ac:dyDescent="0.35">
      <c r="A12" s="133"/>
      <c r="B12" s="227" t="s">
        <v>319</v>
      </c>
      <c r="C12" s="228"/>
      <c r="D12" s="228"/>
      <c r="E12" s="228"/>
      <c r="F12" s="228"/>
      <c r="G12" s="228"/>
      <c r="H12" s="228"/>
      <c r="I12" s="229"/>
      <c r="J12" s="195">
        <f>SUM(J10:J11)</f>
        <v>240000</v>
      </c>
      <c r="K12" s="193"/>
      <c r="L12" s="195">
        <f>SUM(L10:L11)</f>
        <v>1440000</v>
      </c>
      <c r="M12" s="196"/>
      <c r="N12" s="196"/>
      <c r="O12" s="196"/>
      <c r="P12" s="194"/>
      <c r="Q12" s="197"/>
      <c r="R12" s="134"/>
    </row>
    <row r="13" spans="1:18" ht="19" x14ac:dyDescent="0.35">
      <c r="A13" s="133"/>
      <c r="B13" s="133"/>
      <c r="C13" s="134" t="s">
        <v>435</v>
      </c>
      <c r="D13" s="134"/>
      <c r="E13" s="134"/>
      <c r="F13" s="134"/>
      <c r="G13" s="134"/>
      <c r="H13" s="105"/>
      <c r="I13" s="105"/>
      <c r="J13" s="135"/>
      <c r="K13" s="134"/>
      <c r="L13" s="135"/>
      <c r="M13" s="106"/>
      <c r="N13" s="106"/>
      <c r="O13" s="106"/>
      <c r="P13" s="105"/>
      <c r="Q13" s="136"/>
      <c r="R13" s="134"/>
    </row>
    <row r="14" spans="1:18" ht="19" x14ac:dyDescent="0.35">
      <c r="A14" s="133"/>
      <c r="B14" s="133"/>
      <c r="C14" s="134"/>
      <c r="D14" s="134" t="s">
        <v>417</v>
      </c>
      <c r="E14" s="134"/>
      <c r="F14" s="134"/>
      <c r="G14" s="134"/>
      <c r="H14" s="105"/>
      <c r="I14" s="105"/>
      <c r="J14" s="135"/>
      <c r="K14" s="134"/>
      <c r="L14" s="106" t="s">
        <v>418</v>
      </c>
      <c r="M14" s="133"/>
      <c r="N14" s="106"/>
      <c r="O14" s="106"/>
      <c r="P14" s="105"/>
      <c r="Q14" s="136"/>
      <c r="R14" s="134"/>
    </row>
    <row r="15" spans="1:18" ht="19" x14ac:dyDescent="0.35">
      <c r="A15" s="133"/>
      <c r="B15" s="133"/>
      <c r="C15" s="134"/>
      <c r="D15" s="134"/>
      <c r="E15" s="134"/>
      <c r="F15" s="134"/>
      <c r="G15" s="134"/>
      <c r="H15" s="105"/>
      <c r="I15" s="105"/>
      <c r="J15" s="135"/>
      <c r="K15" s="134"/>
      <c r="L15" s="106"/>
      <c r="M15" s="133"/>
      <c r="N15" s="106"/>
      <c r="O15" s="106"/>
      <c r="P15" s="105"/>
      <c r="Q15" s="136"/>
      <c r="R15" s="134"/>
    </row>
    <row r="16" spans="1:18" ht="19" x14ac:dyDescent="0.35">
      <c r="A16" s="133"/>
      <c r="B16" s="133"/>
      <c r="C16" s="134"/>
      <c r="D16" s="134"/>
      <c r="E16" s="134"/>
      <c r="F16" s="134"/>
      <c r="G16" s="134"/>
      <c r="H16" s="105"/>
      <c r="I16" s="105"/>
      <c r="J16" s="135"/>
      <c r="K16" s="134"/>
      <c r="L16" s="106"/>
      <c r="M16" s="133"/>
      <c r="N16" s="106"/>
      <c r="O16" s="106"/>
      <c r="P16" s="105"/>
      <c r="Q16" s="136"/>
      <c r="R16" s="134"/>
    </row>
    <row r="17" spans="1:18" ht="19" x14ac:dyDescent="0.35">
      <c r="A17" s="133"/>
      <c r="B17" s="133"/>
      <c r="C17" s="134"/>
      <c r="D17" s="134"/>
      <c r="E17" s="134"/>
      <c r="F17" s="134"/>
      <c r="G17" s="134"/>
      <c r="H17" s="105"/>
      <c r="I17" s="105"/>
      <c r="J17" s="135"/>
      <c r="K17" s="134"/>
      <c r="L17" s="106"/>
      <c r="M17" s="133"/>
      <c r="N17" s="106"/>
      <c r="O17" s="106"/>
      <c r="P17" s="105"/>
      <c r="Q17" s="136"/>
      <c r="R17" s="134"/>
    </row>
    <row r="18" spans="1:18" ht="19" x14ac:dyDescent="0.35">
      <c r="A18" s="133"/>
      <c r="B18" s="133"/>
      <c r="C18" s="134"/>
      <c r="D18" s="134"/>
      <c r="E18" s="134"/>
      <c r="F18" s="134"/>
      <c r="G18" s="134"/>
      <c r="H18" s="105"/>
      <c r="I18" s="105"/>
      <c r="J18" s="135"/>
      <c r="K18" s="134"/>
      <c r="L18" s="135"/>
      <c r="M18" s="106"/>
      <c r="N18" s="106"/>
      <c r="O18" s="106"/>
      <c r="P18" s="105"/>
      <c r="Q18" s="136"/>
      <c r="R18" s="134"/>
    </row>
    <row r="19" spans="1:18" ht="19" x14ac:dyDescent="0.35">
      <c r="A19" s="133"/>
      <c r="B19" s="225"/>
      <c r="C19" s="225"/>
      <c r="D19" s="225"/>
      <c r="E19" s="134"/>
      <c r="F19" s="133"/>
      <c r="G19" s="225"/>
      <c r="H19" s="225"/>
      <c r="I19" s="225"/>
      <c r="J19" s="225"/>
      <c r="K19" s="134"/>
      <c r="L19" s="135"/>
      <c r="M19" s="106"/>
      <c r="N19" s="106"/>
      <c r="O19" s="226"/>
      <c r="P19" s="225"/>
      <c r="Q19" s="225"/>
      <c r="R19" s="225"/>
    </row>
    <row r="20" spans="1:18" ht="16.5" x14ac:dyDescent="0.35">
      <c r="A20" s="107"/>
      <c r="B20" s="137"/>
      <c r="C20" s="137"/>
      <c r="D20" s="100" t="s">
        <v>391</v>
      </c>
      <c r="E20" s="44"/>
      <c r="F20" s="108"/>
      <c r="G20" s="44"/>
      <c r="H20" s="44"/>
      <c r="I20" s="44"/>
      <c r="J20" s="48"/>
      <c r="K20" s="48" t="s">
        <v>392</v>
      </c>
      <c r="L20" s="86"/>
      <c r="M20" s="100" t="s">
        <v>393</v>
      </c>
      <c r="N20" s="138"/>
      <c r="O20" s="139"/>
      <c r="P20" s="137"/>
      <c r="Q20" s="47"/>
      <c r="R20" s="110"/>
    </row>
    <row r="21" spans="1:18" ht="16.5" x14ac:dyDescent="0.35">
      <c r="A21" s="107"/>
      <c r="B21" s="137"/>
      <c r="C21" s="137"/>
      <c r="D21" s="139"/>
      <c r="E21" s="137"/>
      <c r="F21" s="139"/>
      <c r="G21" s="137"/>
      <c r="H21" s="137"/>
      <c r="I21" s="137"/>
      <c r="J21" s="137"/>
      <c r="K21" s="137"/>
      <c r="L21" s="110"/>
      <c r="M21" s="139"/>
      <c r="N21" s="139"/>
      <c r="O21" s="139"/>
      <c r="P21" s="137"/>
      <c r="Q21" s="47"/>
      <c r="R21" s="110"/>
    </row>
  </sheetData>
  <mergeCells count="12">
    <mergeCell ref="A6:P6"/>
    <mergeCell ref="B7:P7"/>
    <mergeCell ref="B19:D19"/>
    <mergeCell ref="G19:J19"/>
    <mergeCell ref="O19:R19"/>
    <mergeCell ref="B12:I12"/>
    <mergeCell ref="A5:Q5"/>
    <mergeCell ref="A1:D1"/>
    <mergeCell ref="I1:P1"/>
    <mergeCell ref="A2:D2"/>
    <mergeCell ref="I2:P2"/>
    <mergeCell ref="A4:Q4"/>
  </mergeCells>
  <conditionalFormatting sqref="A20:A21 A7:A11">
    <cfRule type="duplicateValues" dxfId="35" priority="42"/>
  </conditionalFormatting>
  <conditionalFormatting sqref="B1:B3">
    <cfRule type="duplicateValues" dxfId="34" priority="33"/>
    <cfRule type="duplicateValues" dxfId="33" priority="34"/>
    <cfRule type="duplicateValues" dxfId="32" priority="35"/>
    <cfRule type="duplicateValues" dxfId="31" priority="36"/>
  </conditionalFormatting>
  <conditionalFormatting sqref="B1:B6">
    <cfRule type="duplicateValues" dxfId="30" priority="28"/>
    <cfRule type="duplicateValues" dxfId="29" priority="29"/>
    <cfRule type="duplicateValues" dxfId="28" priority="37"/>
    <cfRule type="duplicateValues" dxfId="27" priority="38"/>
    <cfRule type="duplicateValues" dxfId="26" priority="39"/>
  </conditionalFormatting>
  <conditionalFormatting sqref="B3">
    <cfRule type="duplicateValues" dxfId="25" priority="32"/>
  </conditionalFormatting>
  <conditionalFormatting sqref="B13:B19">
    <cfRule type="duplicateValues" dxfId="24" priority="55"/>
    <cfRule type="duplicateValues" dxfId="23" priority="54"/>
  </conditionalFormatting>
  <conditionalFormatting sqref="C10">
    <cfRule type="duplicateValues" dxfId="22" priority="86"/>
    <cfRule type="duplicateValues" dxfId="21" priority="85"/>
    <cfRule type="duplicateValues" dxfId="20" priority="84"/>
  </conditionalFormatting>
  <conditionalFormatting sqref="C11">
    <cfRule type="duplicateValues" dxfId="19" priority="1"/>
    <cfRule type="duplicateValues" dxfId="18" priority="2"/>
  </conditionalFormatting>
  <conditionalFormatting sqref="C20:C21 C7:C9">
    <cfRule type="duplicateValues" dxfId="17" priority="43"/>
    <cfRule type="duplicateValues" dxfId="16" priority="44"/>
    <cfRule type="duplicateValues" dxfId="15" priority="45"/>
  </conditionalFormatting>
  <conditionalFormatting sqref="C20:C21 C8:C9">
    <cfRule type="duplicateValues" dxfId="14" priority="47"/>
    <cfRule type="duplicateValues" dxfId="13" priority="48"/>
  </conditionalFormatting>
  <conditionalFormatting sqref="C20:C21">
    <cfRule type="duplicateValues" dxfId="12" priority="46"/>
  </conditionalFormatting>
  <conditionalFormatting sqref="D10">
    <cfRule type="duplicateValues" dxfId="11" priority="92"/>
  </conditionalFormatting>
  <conditionalFormatting sqref="D20:D21 D7:D9">
    <cfRule type="duplicateValues" dxfId="10" priority="49"/>
  </conditionalFormatting>
  <conditionalFormatting sqref="D20:D21">
    <cfRule type="duplicateValues" dxfId="9" priority="50"/>
  </conditionalFormatting>
  <conditionalFormatting sqref="O1:O3">
    <cfRule type="duplicateValues" dxfId="8" priority="31"/>
  </conditionalFormatting>
  <conditionalFormatting sqref="O1:O6">
    <cfRule type="duplicateValues" dxfId="7" priority="30"/>
    <cfRule type="duplicateValues" dxfId="6" priority="27"/>
  </conditionalFormatting>
  <conditionalFormatting sqref="O12:O19">
    <cfRule type="duplicateValues" dxfId="5" priority="41"/>
    <cfRule type="duplicateValues" dxfId="4" priority="40"/>
  </conditionalFormatting>
  <conditionalFormatting sqref="O12:O21 O7:O9">
    <cfRule type="duplicateValues" dxfId="3" priority="56"/>
  </conditionalFormatting>
  <conditionalFormatting sqref="O20:O21 O7:O9">
    <cfRule type="duplicateValues" dxfId="2" priority="51"/>
    <cfRule type="duplicateValues" dxfId="1" priority="52"/>
    <cfRule type="duplicateValues" dxfId="0" priority="53"/>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C5C6-B5C3-4ED8-8FB8-E1654563B2B1}">
  <dimension ref="A1:E8"/>
  <sheetViews>
    <sheetView workbookViewId="0">
      <selection activeCell="B19" sqref="B19"/>
    </sheetView>
  </sheetViews>
  <sheetFormatPr defaultRowHeight="15.5" x14ac:dyDescent="0.35"/>
  <cols>
    <col min="1" max="1" width="5.08203125" customWidth="1"/>
    <col min="2" max="2" width="51.33203125" customWidth="1"/>
    <col min="3" max="3" width="16.75" customWidth="1"/>
    <col min="4" max="4" width="14.75" customWidth="1"/>
    <col min="5" max="5" width="17.58203125" customWidth="1"/>
  </cols>
  <sheetData>
    <row r="1" spans="1:5" ht="16.5" x14ac:dyDescent="0.35">
      <c r="A1" s="235" t="s">
        <v>4</v>
      </c>
      <c r="B1" s="235" t="s">
        <v>325</v>
      </c>
      <c r="C1" s="235" t="s">
        <v>326</v>
      </c>
      <c r="D1" s="235"/>
      <c r="E1" s="235"/>
    </row>
    <row r="2" spans="1:5" ht="16.5" x14ac:dyDescent="0.35">
      <c r="A2" s="235"/>
      <c r="B2" s="235"/>
      <c r="C2" s="27" t="s">
        <v>27</v>
      </c>
      <c r="D2" s="27" t="s">
        <v>34</v>
      </c>
      <c r="E2" s="27" t="s">
        <v>327</v>
      </c>
    </row>
    <row r="3" spans="1:5" ht="16.5" x14ac:dyDescent="0.35">
      <c r="A3" s="28">
        <v>1</v>
      </c>
      <c r="B3" s="29" t="s">
        <v>328</v>
      </c>
      <c r="C3" s="30">
        <v>1410000</v>
      </c>
      <c r="D3" s="30">
        <v>987000</v>
      </c>
      <c r="E3" s="30">
        <v>705000</v>
      </c>
    </row>
    <row r="4" spans="1:5" ht="16.5" x14ac:dyDescent="0.35">
      <c r="A4" s="28">
        <v>2</v>
      </c>
      <c r="B4" s="29" t="s">
        <v>329</v>
      </c>
      <c r="C4" s="30">
        <v>1304100</v>
      </c>
      <c r="D4" s="30">
        <v>912870</v>
      </c>
      <c r="E4" s="30">
        <v>652050</v>
      </c>
    </row>
    <row r="5" spans="1:5" ht="16.5" x14ac:dyDescent="0.35">
      <c r="A5" s="28">
        <v>3</v>
      </c>
      <c r="B5" s="29" t="s">
        <v>330</v>
      </c>
      <c r="C5" s="30">
        <v>1533000</v>
      </c>
      <c r="D5" s="30">
        <v>1073100</v>
      </c>
      <c r="E5" s="30">
        <v>766500</v>
      </c>
    </row>
    <row r="6" spans="1:5" ht="49.5" x14ac:dyDescent="0.35">
      <c r="A6" s="28">
        <v>4</v>
      </c>
      <c r="B6" s="29" t="s">
        <v>331</v>
      </c>
      <c r="C6" s="30">
        <v>1533000</v>
      </c>
      <c r="D6" s="30">
        <v>1073100</v>
      </c>
      <c r="E6" s="30">
        <v>766500</v>
      </c>
    </row>
    <row r="7" spans="1:5" ht="16.5" x14ac:dyDescent="0.35">
      <c r="A7" s="28">
        <v>5</v>
      </c>
      <c r="B7" s="29" t="s">
        <v>332</v>
      </c>
      <c r="C7" s="30">
        <v>1630700</v>
      </c>
      <c r="D7" s="30">
        <v>1141490</v>
      </c>
      <c r="E7" s="30">
        <v>815350</v>
      </c>
    </row>
    <row r="8" spans="1:5" ht="66" x14ac:dyDescent="0.35">
      <c r="A8" s="28">
        <v>6</v>
      </c>
      <c r="B8" s="29" t="s">
        <v>333</v>
      </c>
      <c r="C8" s="30">
        <v>1304100</v>
      </c>
      <c r="D8" s="30">
        <v>912870</v>
      </c>
      <c r="E8" s="30">
        <v>652050</v>
      </c>
    </row>
  </sheetData>
  <mergeCells count="3">
    <mergeCell ref="A1:A2"/>
    <mergeCell ref="B1:B2"/>
    <mergeCell ref="C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MGHP (RÀ CHUẨN)</vt:lpstr>
      <vt:lpstr>MGHP (BS)</vt:lpstr>
      <vt:lpstr>HTCPHT (RÀ CHUẨN)</vt:lpstr>
      <vt:lpstr>HTCPHT (BS)</vt:lpstr>
      <vt:lpstr>TCXH (RÀ CHUẨN)</vt:lpstr>
      <vt:lpstr>TCXH (BS)</vt:lpstr>
      <vt:lpstr>Mức tiền</vt:lpstr>
      <vt:lpstr>'MGHP (BS)'!Print_Area</vt:lpstr>
      <vt:lpstr>'MGHP (RÀ CHUẨN)'!Print_Area</vt:lpstr>
      <vt:lpstr>'MGHP (BS)'!Print_Titles</vt:lpstr>
      <vt:lpstr>'MGHP (RÀ CHUẨN)'!Print_Titles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Vo Thi Hai Huyen</dc:creator>
  <cp:keywords/>
  <dc:description/>
  <cp:lastModifiedBy>Administrator</cp:lastModifiedBy>
  <cp:revision/>
  <cp:lastPrinted>2025-03-20T08:59:33Z</cp:lastPrinted>
  <dcterms:created xsi:type="dcterms:W3CDTF">2025-02-10T02:16:51Z</dcterms:created>
  <dcterms:modified xsi:type="dcterms:W3CDTF">2025-11-24T08:05:48Z</dcterms:modified>
  <cp:category/>
  <cp:contentStatus/>
</cp:coreProperties>
</file>